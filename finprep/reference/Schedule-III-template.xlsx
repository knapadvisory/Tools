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24226"/>
  <xr:revisionPtr revIDLastSave="0" documentId="13_ncr:1_{D2873AE5-1289-42E0-ADE4-C21121CB3057}" xr6:coauthVersionLast="47" xr6:coauthVersionMax="47" xr10:uidLastSave="{00000000-0000-0000-0000-000000000000}"/>
  <bookViews>
    <workbookView xWindow="-120" yWindow="-120" windowWidth="29040" windowHeight="15840" activeTab="3" xr2:uid="{00000000-000D-0000-FFFF-FFFF00000000}"/>
  </bookViews>
  <sheets>
    <sheet name="Balance Sheet" sheetId="2" r:id="rId1"/>
    <sheet name="CFS" sheetId="12" r:id="rId2"/>
    <sheet name="Profit &amp; loss" sheetId="3" r:id="rId3"/>
    <sheet name="2-11" sheetId="4" r:id="rId4"/>
    <sheet name="12" sheetId="5" r:id="rId5"/>
    <sheet name="13-22" sheetId="6" r:id="rId6"/>
    <sheet name="23-29" sheetId="7" r:id="rId7"/>
    <sheet name="Ratios" sheetId="9" r:id="rId8"/>
    <sheet name="notes to accounts" sheetId="11" r:id="rId9"/>
  </sheets>
  <externalReferences>
    <externalReference r:id="rId10"/>
    <externalReference r:id="rId11"/>
    <externalReference r:id="rId12"/>
    <externalReference r:id="rId13"/>
  </externalReferences>
  <definedNames>
    <definedName name="OLE_LINK1" localSheetId="8">'notes to accounts'!#REF!</definedName>
    <definedName name="_xlnm.Print_Area" localSheetId="0">'Balance Sheet'!$A$1:$E$67</definedName>
    <definedName name="_xlnm.Print_Area" localSheetId="8">'notes to accounts'!$A$1:$F$144</definedName>
    <definedName name="Profit">'[1]Balance Sheet'!$D$71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2" i="11" l="1"/>
  <c r="E119" i="11"/>
  <c r="E123" i="11" s="1"/>
  <c r="E124" i="11" s="1"/>
  <c r="F114" i="11"/>
  <c r="E114" i="11"/>
  <c r="F113" i="11"/>
  <c r="E113" i="11"/>
  <c r="F58" i="12"/>
  <c r="E58" i="12"/>
  <c r="F56" i="12"/>
  <c r="E56" i="12"/>
  <c r="F49" i="12"/>
  <c r="E49" i="12"/>
  <c r="F43" i="12"/>
  <c r="E43" i="12"/>
  <c r="E30" i="12"/>
  <c r="E26" i="12"/>
  <c r="E23" i="12"/>
  <c r="F11" i="12"/>
  <c r="E11" i="12"/>
  <c r="F9" i="12"/>
  <c r="F18" i="12" s="1"/>
  <c r="F32" i="12" s="1"/>
  <c r="F34" i="12" s="1"/>
  <c r="F51" i="12" s="1"/>
  <c r="F53" i="12" s="1"/>
  <c r="E52" i="12" s="1"/>
  <c r="E9" i="12"/>
  <c r="E18" i="12" s="1"/>
  <c r="E32" i="12" s="1"/>
  <c r="E34" i="12" s="1"/>
  <c r="E51" i="12" s="1"/>
  <c r="E53" i="12" l="1"/>
  <c r="F59" i="12"/>
  <c r="E59" i="12"/>
  <c r="E115" i="11"/>
  <c r="F115" i="11"/>
  <c r="E118" i="11"/>
  <c r="E125" i="11" s="1"/>
  <c r="F118" i="11"/>
  <c r="F125" i="11" s="1"/>
  <c r="C103" i="11"/>
  <c r="C95" i="11"/>
  <c r="C94" i="11"/>
  <c r="C93" i="11"/>
  <c r="A51" i="11"/>
  <c r="A53" i="11" s="1"/>
  <c r="A55" i="11" s="1"/>
  <c r="A57" i="11" s="1"/>
  <c r="A59" i="11" s="1"/>
  <c r="A61" i="11" s="1"/>
  <c r="A63" i="11" s="1"/>
  <c r="A65" i="11" s="1"/>
  <c r="A105" i="11" s="1"/>
  <c r="A107" i="11" s="1"/>
  <c r="A1" i="7"/>
  <c r="E127" i="7"/>
  <c r="D127" i="7"/>
  <c r="E89" i="7"/>
  <c r="D89" i="7"/>
  <c r="E79" i="7"/>
  <c r="D79" i="7"/>
  <c r="E67" i="7"/>
  <c r="D67" i="7"/>
  <c r="E46" i="7"/>
  <c r="D46" i="7"/>
  <c r="E35" i="7"/>
  <c r="D35" i="7"/>
  <c r="E18" i="7"/>
  <c r="D18" i="7"/>
  <c r="D126" i="6" l="1"/>
  <c r="D103" i="6"/>
  <c r="E113" i="6"/>
  <c r="D113" i="6"/>
  <c r="E103" i="6"/>
  <c r="D85" i="6"/>
  <c r="E126" i="6"/>
  <c r="E85" i="6"/>
  <c r="E69" i="6"/>
  <c r="D69" i="6"/>
  <c r="E57" i="6"/>
  <c r="D57" i="6"/>
  <c r="E47" i="6"/>
  <c r="D47" i="6"/>
  <c r="E37" i="6"/>
  <c r="D37" i="6"/>
  <c r="C23" i="6"/>
  <c r="D23" i="6" s="1"/>
  <c r="A1" i="6"/>
  <c r="E14" i="6"/>
  <c r="D14" i="6"/>
  <c r="K14" i="5"/>
  <c r="K13" i="5"/>
  <c r="K12" i="5"/>
  <c r="K11" i="5"/>
  <c r="K10" i="5"/>
  <c r="K9" i="5"/>
  <c r="F14" i="5"/>
  <c r="F13" i="5"/>
  <c r="F12" i="5"/>
  <c r="F11" i="5"/>
  <c r="F10" i="5"/>
  <c r="F9" i="5"/>
  <c r="M24" i="5"/>
  <c r="J24" i="5"/>
  <c r="I24" i="5"/>
  <c r="H24" i="5"/>
  <c r="G24" i="5"/>
  <c r="E24" i="5"/>
  <c r="D24" i="5"/>
  <c r="C24" i="5"/>
  <c r="E27" i="4"/>
  <c r="E24" i="4"/>
  <c r="E25" i="4"/>
  <c r="E26" i="4"/>
  <c r="C25" i="4"/>
  <c r="C26" i="4"/>
  <c r="E52" i="4"/>
  <c r="E60" i="4" s="1"/>
  <c r="D52" i="4"/>
  <c r="D60" i="4" s="1"/>
  <c r="D148" i="4"/>
  <c r="D155" i="4" s="1"/>
  <c r="D134" i="4"/>
  <c r="E165" i="4"/>
  <c r="D165" i="4"/>
  <c r="E148" i="4"/>
  <c r="E155" i="4" s="1"/>
  <c r="E134" i="4"/>
  <c r="E124" i="4"/>
  <c r="E107" i="4"/>
  <c r="D107" i="4"/>
  <c r="E95" i="4"/>
  <c r="E98" i="4" s="1"/>
  <c r="D95" i="4"/>
  <c r="D98" i="4" s="1"/>
  <c r="E75" i="4"/>
  <c r="L11" i="5" l="1"/>
  <c r="L12" i="5"/>
  <c r="L10" i="5"/>
  <c r="L14" i="5"/>
  <c r="L9" i="5"/>
  <c r="L13" i="5"/>
  <c r="K24" i="5"/>
  <c r="F24" i="5"/>
  <c r="D124" i="4"/>
  <c r="C84" i="4"/>
  <c r="D84" i="4" s="1"/>
  <c r="D75" i="4"/>
  <c r="L24" i="5" l="1"/>
  <c r="E18" i="4"/>
  <c r="E15" i="4"/>
  <c r="E12" i="4"/>
  <c r="A1" i="4"/>
  <c r="C18" i="4"/>
  <c r="C15" i="4"/>
  <c r="C12" i="4"/>
  <c r="C39" i="3"/>
</calcChain>
</file>

<file path=xl/sharedStrings.xml><?xml version="1.0" encoding="utf-8"?>
<sst xmlns="http://schemas.openxmlformats.org/spreadsheetml/2006/main" count="807" uniqueCount="560">
  <si>
    <t>Particulars</t>
  </si>
  <si>
    <t>As at 
31st March 2021</t>
  </si>
  <si>
    <t>As at 
31st March 2020</t>
  </si>
  <si>
    <t>Unsecured</t>
  </si>
  <si>
    <t>Secured</t>
  </si>
  <si>
    <t>Note 3 : Reserves and Surplus</t>
  </si>
  <si>
    <t>Opening balance</t>
  </si>
  <si>
    <t>Closing Balance</t>
  </si>
  <si>
    <t>Securities Premium</t>
  </si>
  <si>
    <t>Add:- Additions during the year</t>
  </si>
  <si>
    <t>Less:- Utilisation during the year</t>
  </si>
  <si>
    <t>Surplus in Profit &amp; Loss</t>
  </si>
  <si>
    <t>Loans and advances from others</t>
  </si>
  <si>
    <t>Loans and advances from related parties</t>
  </si>
  <si>
    <t>Mr. ABC (Director)</t>
  </si>
  <si>
    <t>As at                      
 31 March, 2020</t>
  </si>
  <si>
    <t>Total</t>
  </si>
  <si>
    <t>Input GST (Net of GST Payable)</t>
  </si>
  <si>
    <t>Advances to Suppliers</t>
  </si>
  <si>
    <t xml:space="preserve"> Current liabilities</t>
  </si>
  <si>
    <t>ABC Private Limited</t>
  </si>
  <si>
    <t xml:space="preserve">CIN:- </t>
  </si>
  <si>
    <t>I</t>
  </si>
  <si>
    <t>(c) Money received against share warrants</t>
  </si>
  <si>
    <t>Share application money pending allotment</t>
  </si>
  <si>
    <t>(b) Trade payables</t>
  </si>
  <si>
    <t>(c) Other current liabilities</t>
  </si>
  <si>
    <t>TOTAL</t>
  </si>
  <si>
    <t>All amounts in Indian Rupees, unless otherwise stated)</t>
  </si>
  <si>
    <t>II</t>
  </si>
  <si>
    <t>Non-current assets</t>
  </si>
  <si>
    <t>(a) Share capital</t>
  </si>
  <si>
    <t>(b) Reserves and surplus</t>
  </si>
  <si>
    <t>(d) Short-term provisions</t>
  </si>
  <si>
    <t>(a) Short-term borrowings</t>
  </si>
  <si>
    <t>(d) Long-term provisions</t>
  </si>
  <si>
    <t>(a) Long-term borrowings</t>
  </si>
  <si>
    <t>Non-current liabilities</t>
  </si>
  <si>
    <t>(c) Deferred tax assets (Net)</t>
  </si>
  <si>
    <t>(b) Deferred tax liabilities (Net)</t>
  </si>
  <si>
    <t>(e) Other non-current assets</t>
  </si>
  <si>
    <t>(d) Long-term loans and advances</t>
  </si>
  <si>
    <t>Current assets</t>
  </si>
  <si>
    <t>(b) Inventories</t>
  </si>
  <si>
    <t>(e) Short-term loans and advances</t>
  </si>
  <si>
    <t>Significant Accounting Policies</t>
  </si>
  <si>
    <t>Other Notes To Accounts</t>
  </si>
  <si>
    <t>As per our report of even date</t>
  </si>
  <si>
    <t>The accompanying notes are an integral part of the financial statements</t>
  </si>
  <si>
    <t>Chartered Accountants</t>
  </si>
  <si>
    <t>Partner</t>
  </si>
  <si>
    <t>Neeraj Rohilla|Krishan Kumar</t>
  </si>
  <si>
    <t>Membership No.:</t>
  </si>
  <si>
    <t>ICAI Firm Registration No.: 033312N</t>
  </si>
  <si>
    <t>Place: New Delhi</t>
  </si>
  <si>
    <t>Date:- 30 September 2021</t>
  </si>
  <si>
    <t>For and on behalf of the Board of Directors of</t>
  </si>
  <si>
    <t>ABC</t>
  </si>
  <si>
    <t>Director</t>
  </si>
  <si>
    <t xml:space="preserve">DIN.: </t>
  </si>
  <si>
    <t>XYZ</t>
  </si>
  <si>
    <r>
      <t xml:space="preserve">For </t>
    </r>
    <r>
      <rPr>
        <b/>
        <sz val="11.5"/>
        <color theme="1"/>
        <rFont val="Calibri"/>
        <family val="2"/>
        <scheme val="minor"/>
      </rPr>
      <t>K N K &amp; COMPANY</t>
    </r>
  </si>
  <si>
    <t>Statement of Profit and Loss for the year ended 31 March 2021</t>
  </si>
  <si>
    <t>Revenue from operations</t>
  </si>
  <si>
    <t>Other Income</t>
  </si>
  <si>
    <t>III</t>
  </si>
  <si>
    <t>IV</t>
  </si>
  <si>
    <t>Expenses</t>
  </si>
  <si>
    <t>Purchase of traded goods</t>
  </si>
  <si>
    <t>Employee benefits expense</t>
  </si>
  <si>
    <t>Depreciation and amortization expense</t>
  </si>
  <si>
    <t>Finance costs</t>
  </si>
  <si>
    <t>Other expenses</t>
  </si>
  <si>
    <t>Total expenses</t>
  </si>
  <si>
    <t>Total equity and liabilities</t>
  </si>
  <si>
    <t>Total assets</t>
  </si>
  <si>
    <t>Total income (I+II)</t>
  </si>
  <si>
    <t>V</t>
  </si>
  <si>
    <t>VI</t>
  </si>
  <si>
    <t>Tax expense</t>
  </si>
  <si>
    <t>Current tax</t>
  </si>
  <si>
    <t>Deferred tax charge/(credit)</t>
  </si>
  <si>
    <t>Tax expense/(credit) pertaining to earlier years</t>
  </si>
  <si>
    <t>VII</t>
  </si>
  <si>
    <t>Profit/(loss) for the year</t>
  </si>
  <si>
    <t>Profit/(loss) before tax</t>
  </si>
  <si>
    <t>VIII</t>
  </si>
  <si>
    <t>Earnings per equity share</t>
  </si>
  <si>
    <t>(a) Basic</t>
  </si>
  <si>
    <t>(b) Diluted</t>
  </si>
  <si>
    <t>Notes</t>
  </si>
  <si>
    <t>As at 31 March, 2020</t>
  </si>
  <si>
    <t>Number of shares</t>
  </si>
  <si>
    <t>(a) Authorised</t>
  </si>
  <si>
    <t>Equity shares of ₹ 10 each</t>
  </si>
  <si>
    <t xml:space="preserve">(b) Issued </t>
  </si>
  <si>
    <t>(c) Subscribed and fully paid up</t>
  </si>
  <si>
    <t>As at 31 March, 2021</t>
  </si>
  <si>
    <t>Amount (₹)</t>
  </si>
  <si>
    <t>Notes to the financial statements for the year ended 31 March 2021</t>
  </si>
  <si>
    <t xml:space="preserve">2(a) Authorised, Issued, Subscribed &amp; Paid Up Share Capital </t>
  </si>
  <si>
    <t>Equity Shares</t>
  </si>
  <si>
    <t xml:space="preserve">Shares outstanding at the beginning of the year </t>
  </si>
  <si>
    <t xml:space="preserve">Shares issued during the year </t>
  </si>
  <si>
    <t>Shares bought back during the year</t>
  </si>
  <si>
    <t>Shares outstanding at the end of the year</t>
  </si>
  <si>
    <t>2(c)  Details of shareholders holding more than 5% shares in the company</t>
  </si>
  <si>
    <t>Xyz</t>
  </si>
  <si>
    <t>Abc</t>
  </si>
  <si>
    <t>Name of the shareholder</t>
  </si>
  <si>
    <t>% holding</t>
  </si>
  <si>
    <t>Deferred Tax Assets</t>
  </si>
  <si>
    <t>DTA due to timing difference on Loss</t>
  </si>
  <si>
    <t>Deferred Tax Liabilities</t>
  </si>
  <si>
    <t>WDV as per Income Tax Act (Annexure A)</t>
  </si>
  <si>
    <t>Timing Difference</t>
  </si>
  <si>
    <t>WDV as per Books (Note abc)</t>
  </si>
  <si>
    <t>a) Security deposits</t>
  </si>
  <si>
    <t>a) Retention money</t>
  </si>
  <si>
    <t>Provision for employee benefits</t>
  </si>
  <si>
    <t>Note 4 : Long-term borrowings</t>
  </si>
  <si>
    <t>2(b) Reconciliation of number of shares outstanding</t>
  </si>
  <si>
    <t>Add: - Profit for the year transferred from statement of Profit &amp; Loss</t>
  </si>
  <si>
    <t>Less: - Loss for the year transferred from statement of Profit &amp; Loss</t>
  </si>
  <si>
    <t>As at                      
 31 March, 2021</t>
  </si>
  <si>
    <t>Note 8 : Short-term borrowings</t>
  </si>
  <si>
    <t>Note 2 : Share capital</t>
  </si>
  <si>
    <t>Note 5 : Deferred tax liabilities (Net)</t>
  </si>
  <si>
    <t>Note 6 : Other Non-current liabilities</t>
  </si>
  <si>
    <t>Note 7 : Long-term provisions</t>
  </si>
  <si>
    <t>Note 9 : Trade payables</t>
  </si>
  <si>
    <t>Note 11 : Short-term Provisions</t>
  </si>
  <si>
    <t xml:space="preserve">a) Total outstanding dues of micro enterprises and small enterprises; </t>
  </si>
  <si>
    <t>b) Total outstanding dues of creditors other than micro and small enterprises</t>
  </si>
  <si>
    <t>Note 10 : Other Current liabilities</t>
  </si>
  <si>
    <t>Provision for expenses &amp; other liabilities</t>
  </si>
  <si>
    <t>Provision for Audit Fee</t>
  </si>
  <si>
    <t>PARTICULARS</t>
  </si>
  <si>
    <t>PREVIOUS YEAR</t>
  </si>
  <si>
    <t>Gross Block</t>
  </si>
  <si>
    <t>Depreciation</t>
  </si>
  <si>
    <t>Net Block</t>
  </si>
  <si>
    <t>Additions during the year</t>
  </si>
  <si>
    <t>Sale/
Adjustments</t>
  </si>
  <si>
    <t>Depreciation as on 01 April, 2020</t>
  </si>
  <si>
    <t>Depreciation for the Year</t>
  </si>
  <si>
    <t>Prior Periods</t>
  </si>
  <si>
    <t>Cost as on 1 April 2020</t>
  </si>
  <si>
    <t>Total Depreciation upto 
31 March 2021</t>
  </si>
  <si>
    <t>Computer</t>
  </si>
  <si>
    <t>Plant &amp; Machinery</t>
  </si>
  <si>
    <t>Motor Car</t>
  </si>
  <si>
    <t>Furniture &amp; Fixture</t>
  </si>
  <si>
    <t>Office Premises</t>
  </si>
  <si>
    <t>Office Equipments</t>
  </si>
  <si>
    <t>(a)</t>
  </si>
  <si>
    <t>(b)</t>
  </si>
  <si>
    <t>Intangible Assets</t>
  </si>
  <si>
    <t>Software</t>
  </si>
  <si>
    <t>Cost as on 
31 March, 2021</t>
  </si>
  <si>
    <t>As on 
31 March 2020</t>
  </si>
  <si>
    <t>As on 
31 March 2021</t>
  </si>
  <si>
    <t>Note 13 : Non-current Investents</t>
  </si>
  <si>
    <t>Long-term non traded Investments - (Quoted)</t>
  </si>
  <si>
    <t>Investments in ETF</t>
  </si>
  <si>
    <t>Less: Provisions for dimunition in value</t>
  </si>
  <si>
    <t>Deferred Tax assets</t>
  </si>
  <si>
    <t>WDV as per Books (Note 12)</t>
  </si>
  <si>
    <t>Note 14 : Deferred tax assets (Net)</t>
  </si>
  <si>
    <t>Deposits</t>
  </si>
  <si>
    <t>Note 15 : Long-term loans and advances</t>
  </si>
  <si>
    <t>Note 16 : Other non-current assets</t>
  </si>
  <si>
    <t>Note 17 : Current investents</t>
  </si>
  <si>
    <t>Note 18 : Inventories</t>
  </si>
  <si>
    <t>Note 19 : Trade Receivables</t>
  </si>
  <si>
    <t>Note 20 : Cash and cash Equivalent</t>
  </si>
  <si>
    <t>Note 21 : Short-term loans and advances</t>
  </si>
  <si>
    <t>Note : 22 Other Current Assets</t>
  </si>
  <si>
    <t>Note : 23 Revenue from operation</t>
  </si>
  <si>
    <t>Sale of Services</t>
  </si>
  <si>
    <t>Sale of Products</t>
  </si>
  <si>
    <t>Other Operating Income</t>
  </si>
  <si>
    <t>Note : 24 Other Income</t>
  </si>
  <si>
    <t>Dividend Income</t>
  </si>
  <si>
    <t>Miscellaneous Income</t>
  </si>
  <si>
    <t>Sundry balances write off</t>
  </si>
  <si>
    <t>Note : 25 Cost of material consumed</t>
  </si>
  <si>
    <t>Cost of material consumed</t>
  </si>
  <si>
    <t>Opening Stock</t>
  </si>
  <si>
    <t>Purchase</t>
  </si>
  <si>
    <t>Raw material &amp; components</t>
  </si>
  <si>
    <t>Less: Closing Stock</t>
  </si>
  <si>
    <t>Changes in Inventories of finished goods, work-in-progress and stock-in-trade</t>
  </si>
  <si>
    <t>Finished Goods</t>
  </si>
  <si>
    <t>Closing Stock</t>
  </si>
  <si>
    <t/>
  </si>
  <si>
    <t>Work-In-Progress</t>
  </si>
  <si>
    <t>Less : Opening Stock</t>
  </si>
  <si>
    <t>Stock-in-trade</t>
  </si>
  <si>
    <t>Note : 26 Changes in Inventories of finished goods, work-in-progress and stock-in-trade</t>
  </si>
  <si>
    <t>Note : 27 Employee benefits expense</t>
  </si>
  <si>
    <t>Salary and Incentives</t>
  </si>
  <si>
    <t>Staff welfare expenses</t>
  </si>
  <si>
    <t>Directors remuneration</t>
  </si>
  <si>
    <t>Stipned</t>
  </si>
  <si>
    <t>Contribution to Provident &amp; other funds</t>
  </si>
  <si>
    <t>Interest paid on borrowings</t>
  </si>
  <si>
    <t>Interest paid to others</t>
  </si>
  <si>
    <t xml:space="preserve">Loss On translation of foreign currency borrowings   </t>
  </si>
  <si>
    <t>Note : 28 Finance costs</t>
  </si>
  <si>
    <t>Note : 29 Other expenses</t>
  </si>
  <si>
    <t xml:space="preserve"> -Building</t>
  </si>
  <si>
    <t xml:space="preserve"> -Plant &amp; Machinery</t>
  </si>
  <si>
    <t xml:space="preserve"> -Others</t>
  </si>
  <si>
    <t>Rent</t>
  </si>
  <si>
    <t>Insurance</t>
  </si>
  <si>
    <t>Commission</t>
  </si>
  <si>
    <t>Rates And Taxes</t>
  </si>
  <si>
    <t>Power &amp; fuel</t>
  </si>
  <si>
    <t>Vehicle running and maintenance</t>
  </si>
  <si>
    <t>Selling &amp; distribution expenses</t>
  </si>
  <si>
    <t>Business promotion expenses</t>
  </si>
  <si>
    <t>Rebate &amp; discount</t>
  </si>
  <si>
    <t>Bad debts written off</t>
  </si>
  <si>
    <t>CSR expenditure</t>
  </si>
  <si>
    <t>Miscellaneous expenses</t>
  </si>
  <si>
    <t>Bank charges</t>
  </si>
  <si>
    <t>Brokerage</t>
  </si>
  <si>
    <t>Books and periodicals</t>
  </si>
  <si>
    <t>Travelling and Conveyance expenses</t>
  </si>
  <si>
    <t>Repairs and maintenance</t>
  </si>
  <si>
    <t>Telephone and Internet expenses</t>
  </si>
  <si>
    <t xml:space="preserve">Postage </t>
  </si>
  <si>
    <t>Website expenses</t>
  </si>
  <si>
    <t>Legal and professional cees</t>
  </si>
  <si>
    <t>Payment to statutory auditor :</t>
  </si>
  <si>
    <t xml:space="preserve"> i) Audit Fees</t>
  </si>
  <si>
    <t xml:space="preserve"> ii) Other services</t>
  </si>
  <si>
    <t xml:space="preserve"> iii) Out of pocket expense</t>
  </si>
  <si>
    <t>Loss on sale of property, plant and equipment (net)</t>
  </si>
  <si>
    <t>Exchange fluctuation (net)</t>
  </si>
  <si>
    <t>Prior period expenses  (net)</t>
  </si>
  <si>
    <t>Profit on sale of property, plant and equipment (net)</t>
  </si>
  <si>
    <t>Interest income</t>
  </si>
  <si>
    <t xml:space="preserve"> i) on fixed deposits with banks</t>
  </si>
  <si>
    <t xml:space="preserve"> ii) on security deposits</t>
  </si>
  <si>
    <t xml:space="preserve"> iii) on Income Tax refund</t>
  </si>
  <si>
    <t xml:space="preserve"> iv) from others</t>
  </si>
  <si>
    <t>Sale of scrap amd other materials</t>
  </si>
  <si>
    <t>Duty drawback</t>
  </si>
  <si>
    <t>Other operating income (Export Incentive, etc)</t>
  </si>
  <si>
    <t>Loans and advances from Banks (Secured against property)</t>
  </si>
  <si>
    <t>Gratuity Provision</t>
  </si>
  <si>
    <t>Advance received from customers</t>
  </si>
  <si>
    <t>Current maturities of long term borrowings</t>
  </si>
  <si>
    <t>Sundry creditors for expenses</t>
  </si>
  <si>
    <t>Salary payable</t>
  </si>
  <si>
    <t>Other current liabilities</t>
  </si>
  <si>
    <t>Provision for Income Tax (Net of Advance Tax)</t>
  </si>
  <si>
    <t>Secured, Considered Good</t>
  </si>
  <si>
    <t>Unsecured, Considered Good</t>
  </si>
  <si>
    <t>Raw materials</t>
  </si>
  <si>
    <t>Stores and consumables</t>
  </si>
  <si>
    <t>Work-in-progress</t>
  </si>
  <si>
    <t>Finished goods</t>
  </si>
  <si>
    <t>Traded goods</t>
  </si>
  <si>
    <t>More than six months</t>
  </si>
  <si>
    <t>Other trade receivables</t>
  </si>
  <si>
    <t>Doubtful</t>
  </si>
  <si>
    <t>Cash on hand</t>
  </si>
  <si>
    <t>Balances with Bank</t>
  </si>
  <si>
    <t>Balance with GST Cash Ledger</t>
  </si>
  <si>
    <t>Loans &amp; advances to employee</t>
  </si>
  <si>
    <t>Advance for expenses</t>
  </si>
  <si>
    <t>Advance tax &amp; TDS receivable (net of provision)</t>
  </si>
  <si>
    <t>For the year ended  31 March 2021</t>
  </si>
  <si>
    <t>For the year ended  31 March 2020</t>
  </si>
  <si>
    <t>Neeraj Rohilla</t>
  </si>
  <si>
    <t>Receivable from subscribers to MOA :-</t>
  </si>
  <si>
    <t>(a) Property, Plant and Equipment and Intangible assets</t>
  </si>
  <si>
    <t>Note 12 : Property, Plant and Equipment and Intangible assets</t>
  </si>
  <si>
    <t>Property, Plant and Equipment</t>
  </si>
  <si>
    <t>(c)</t>
  </si>
  <si>
    <t>Capital work-in-progress</t>
  </si>
  <si>
    <t>(d)</t>
  </si>
  <si>
    <t>Intangible assets under development</t>
  </si>
  <si>
    <t>(c) Other Long term liabilities</t>
  </si>
  <si>
    <t>(b) Non-current investments</t>
  </si>
  <si>
    <t>(f) Other current Assets</t>
  </si>
  <si>
    <t>(d) Cash and cash equivalent</t>
  </si>
  <si>
    <t>(c) Trade receivables</t>
  </si>
  <si>
    <t>(a) Current investments</t>
  </si>
  <si>
    <t>2(d) Promoter's shareholding</t>
  </si>
  <si>
    <t>Shares held by promotes at the end of the Year</t>
  </si>
  <si>
    <t>S. No.</t>
  </si>
  <si>
    <t>Promoter's Name</t>
  </si>
  <si>
    <t>No. of shares</t>
  </si>
  <si>
    <t>% of Total shares</t>
  </si>
  <si>
    <t>% changes during the year</t>
  </si>
  <si>
    <r>
      <rPr>
        <b/>
        <sz val="11.5"/>
        <color theme="1"/>
        <rFont val="Calibri"/>
        <family val="2"/>
        <scheme val="minor"/>
      </rPr>
      <t>2(e)</t>
    </r>
    <r>
      <rPr>
        <sz val="11.5"/>
        <color theme="1"/>
        <rFont val="Calibri"/>
        <family val="2"/>
        <scheme val="minor"/>
      </rPr>
      <t xml:space="preserve"> The  Company  has  only one  class of  equity shares having  a par value  of  ₹ 10 per share. Each shareholder is entitled to one vote  per share. The dividend, if any, proposed  by the  Board of Directors  is subject to  the approval of shareholders except  in case of Interim dividend. In the event of liquidation,  the equity shareholders are eligible to receive the residual assets of the Company after distribution of all preferential amounts, in proportion of their shareholding.</t>
    </r>
  </si>
  <si>
    <t>Less than 1 year</t>
  </si>
  <si>
    <t>1-2 years</t>
  </si>
  <si>
    <t>2-3 years</t>
  </si>
  <si>
    <t>Outstanding for following periods from due date of payment</t>
  </si>
  <si>
    <t>(i) MSME</t>
  </si>
  <si>
    <t>(ii) Others</t>
  </si>
  <si>
    <t>(ii) Disputed dues - MSME</t>
  </si>
  <si>
    <t>(ii) Disputed dues - Others</t>
  </si>
  <si>
    <t>Note 9A : Trade payables ageing</t>
  </si>
  <si>
    <t>Note 19A : Trade receivables ageing</t>
  </si>
  <si>
    <t>Outstanding for following periods from date of payment</t>
  </si>
  <si>
    <t>Less than 6 months</t>
  </si>
  <si>
    <t>6m - 1 year</t>
  </si>
  <si>
    <t>(i) Undisputed Trade receivables- considered good</t>
  </si>
  <si>
    <t>(ii) Undisputed Trade Receivables- Considered Doubtful</t>
  </si>
  <si>
    <t>(ii) Disputed Trade Receivables considered good</t>
  </si>
  <si>
    <t>(ii) Disputed Trade Receivables considered doubtful</t>
  </si>
  <si>
    <t>(All amounts in Indian Rupees, unless otherwise stated)</t>
  </si>
  <si>
    <t>CWIP</t>
  </si>
  <si>
    <t>Project 1</t>
  </si>
  <si>
    <t>To be completed in</t>
  </si>
  <si>
    <t>More than 3 years</t>
  </si>
  <si>
    <t>Note 12A : Capital Work-in Progress (CWIP)</t>
  </si>
  <si>
    <t>Note 12B : Intangible assets under development</t>
  </si>
  <si>
    <t xml:space="preserve">Projects in progress </t>
  </si>
  <si>
    <t>Projects temporarily suspended</t>
  </si>
  <si>
    <t>Amount in CWIP for a period of</t>
  </si>
  <si>
    <t>Note 12C : Intangible assets under development</t>
  </si>
  <si>
    <t>Project 2</t>
  </si>
  <si>
    <t xml:space="preserve">To be completed in </t>
  </si>
  <si>
    <t>a)</t>
  </si>
  <si>
    <t>Current Ratio</t>
  </si>
  <si>
    <t>b)</t>
  </si>
  <si>
    <t>Debt-equity Ratio</t>
  </si>
  <si>
    <t>c)</t>
  </si>
  <si>
    <t>Debt Service Coverage Ratio</t>
  </si>
  <si>
    <t>d)</t>
  </si>
  <si>
    <t>Return on Equity Ratio</t>
  </si>
  <si>
    <t>e)</t>
  </si>
  <si>
    <t>Inventory Turnover Ratio</t>
  </si>
  <si>
    <t>f)</t>
  </si>
  <si>
    <t>g)</t>
  </si>
  <si>
    <t>h)</t>
  </si>
  <si>
    <t>i)</t>
  </si>
  <si>
    <t>Net Profit Ratio</t>
  </si>
  <si>
    <t>j)</t>
  </si>
  <si>
    <t>k)</t>
  </si>
  <si>
    <t>Return on Investment</t>
  </si>
  <si>
    <t>Numerator</t>
  </si>
  <si>
    <t>Denominator</t>
  </si>
  <si>
    <t>Current Assets</t>
  </si>
  <si>
    <t>Current liabilities</t>
  </si>
  <si>
    <t>Total debt</t>
  </si>
  <si>
    <t xml:space="preserve">Net profits after taxes </t>
  </si>
  <si>
    <t>Revenue</t>
  </si>
  <si>
    <t>Variance (in %)</t>
  </si>
  <si>
    <t>Trade Receivable Turnover Ratio</t>
  </si>
  <si>
    <t>Trade Payables Turnover Ratio</t>
  </si>
  <si>
    <t>Net Annual Credit Sales</t>
  </si>
  <si>
    <t>Net Credit Purchases of services
and other expenses</t>
  </si>
  <si>
    <t>Working Capital Turnover Ratio</t>
  </si>
  <si>
    <t>Turnover (Net sales)</t>
  </si>
  <si>
    <t>Earning before interest and taxes (EBIT)</t>
  </si>
  <si>
    <t>Return on Capital Employed (ROCE)</t>
  </si>
  <si>
    <t>Cost of goods sold</t>
  </si>
  <si>
    <t>Average value of inventory</t>
  </si>
  <si>
    <t>Unquoted</t>
  </si>
  <si>
    <t>Quoted</t>
  </si>
  <si>
    <t>Income generated
from investments</t>
  </si>
  <si>
    <t>Time weighted
average investments</t>
  </si>
  <si>
    <t>Annexure - 2</t>
  </si>
  <si>
    <t>Total Shareholder’s equity (includes reserves and surplus)</t>
  </si>
  <si>
    <t>Net operating Income (PBT)</t>
  </si>
  <si>
    <t>Debt Service (Current debt obligations)</t>
  </si>
  <si>
    <t>Shareholder Equity (includes reserves and surplus)</t>
  </si>
  <si>
    <t>Average trade Receivables (Average of opening and closing)</t>
  </si>
  <si>
    <t>Average trade payables (Average of opening and closing)</t>
  </si>
  <si>
    <t>Working capital (current assets-current liabilities)</t>
  </si>
  <si>
    <t>Net profit after tax</t>
  </si>
  <si>
    <t>Capital employed (total assets-current liabilities)</t>
  </si>
  <si>
    <t>XYZ PRIVATE LIMITED</t>
  </si>
  <si>
    <t xml:space="preserve">As at 
</t>
  </si>
  <si>
    <t>March 31, 2022</t>
  </si>
  <si>
    <t>March 31, 2021</t>
  </si>
  <si>
    <t>Equity and liabilities</t>
  </si>
  <si>
    <t>Shareholder's funds</t>
  </si>
  <si>
    <t>Assets</t>
  </si>
  <si>
    <t>Statutory liabilities (GST payable net of ITC)</t>
  </si>
  <si>
    <t>Reimbursement payable to director</t>
  </si>
  <si>
    <t>Operating expenses</t>
  </si>
  <si>
    <t>Other current assets</t>
  </si>
  <si>
    <t>Balance Sheet as at 31 March 2023</t>
  </si>
  <si>
    <t>As at 31 March 2023</t>
  </si>
  <si>
    <t>As at 31 March 2022</t>
  </si>
  <si>
    <t xml:space="preserve"> </t>
  </si>
  <si>
    <r>
      <t>(Notes to financial statements for the year ended 31</t>
    </r>
    <r>
      <rPr>
        <b/>
        <u/>
        <vertAlign val="superscript"/>
        <sz val="12"/>
        <color theme="1"/>
        <rFont val="Trebuchet MS"/>
        <family val="2"/>
      </rPr>
      <t>st</t>
    </r>
    <r>
      <rPr>
        <b/>
        <u/>
        <sz val="12"/>
        <color theme="1"/>
        <rFont val="Trebuchet MS"/>
        <family val="2"/>
      </rPr>
      <t xml:space="preserve"> March 2024)</t>
    </r>
  </si>
  <si>
    <t xml:space="preserve">Note 1: </t>
  </si>
  <si>
    <t>Significant accounting policies</t>
  </si>
  <si>
    <t>Basis of accounting</t>
  </si>
  <si>
    <t>Revenue recognition</t>
  </si>
  <si>
    <t>The company recognized all the income on accrual basis during the year. All the expenses are accounted for on accrual basis of accounting.</t>
  </si>
  <si>
    <t xml:space="preserve">c)    </t>
  </si>
  <si>
    <t>Provisions, contingent liabilities and contingent assets</t>
  </si>
  <si>
    <t>A Provision is recognised when the Company has a present obligation as a result of past event and it is probable that an outflow of resources will be required to settle the obligation and also in respect of which a reliable estimate can be made. Provisions are not discounted to its present value and are determined based on best estimate required to settle the obligation at the balance sheet date. These are reviewed at each balance sheet date and adjusted to reflect the current best estimates. Where there is a possible obligation or a present obligation that likelihood of outflow of resources is remote, no provision or disclosure is made.</t>
  </si>
  <si>
    <t>Taxes on income</t>
  </si>
  <si>
    <t>Provision for current tax is made on the basis of estimated taxable income under Income Tax Act, 1961. Deferred Tax on account of timing differences between tax income and accounting income and unabsorbed losses is accounted for by applying tax rates and laws enacted or substantially enacted on the balance sheet date.</t>
  </si>
  <si>
    <t>Deferred tax asset is recognized on carry forward losses only to the extent that there is virtual certainty supported by convincing evidence that sufficient future taxable income will be available against which such deferred tax asset can be realized.</t>
  </si>
  <si>
    <t xml:space="preserve">e)   </t>
  </si>
  <si>
    <t>Use of estimates</t>
  </si>
  <si>
    <t>The preparation of financial statements in conformity with generally accepted accounting principles requires management to make estimates and assumptions that affect the reported amounts of assets and liabilities and disclosure of contingent liabilities at the date of the financial statements and the results of operations during the reporting period. Although these estimates are based upon management’s best knowledge of current events and actions, actual results could differ from these estimates.</t>
  </si>
  <si>
    <t>Earnings per share</t>
  </si>
  <si>
    <t>Basic earnings per share is computed using the weighted average number of equity shares outstanding during the year. In determining earnings per share, the Company considers the net profit after tax and includes the post-tax effects of any extraordinary or exceptional items.</t>
  </si>
  <si>
    <t>Property, plant and equipment and intangible assets</t>
  </si>
  <si>
    <t>Recognition and measurements</t>
  </si>
  <si>
    <t>Property, plant and equipment are measured at cost less accumulated depreciation and impairment losses, if any. Cost comprises the purchase price net of any trade discounts and rebates, any import duties and other taxes (other than those subsequently recoverable from the tax authorities), any directly attributable expenditure in making the asset ready for its intended use. Machinery spares which can be used only in connection with an item of property, plant and equipment and whose use is expected to be irregular are capitalized and depreciated over the useful life of the spares or the principal item of the relevant assets, whichever is lower.</t>
  </si>
  <si>
    <t>Depreciation on property, plant and equipment has been provided on the straight-line method as per the useful life prescribed in Schedule II to the Act. Property, plant and equipment’s residual values and useful lives are reviewed at each Balance Sheet date and changes, if any, are treated as changes in accounting estimate. Assets individually costing ₹ 5,000 and below are fully depreciated in the year of acquisition.</t>
  </si>
  <si>
    <t>During the year, depreciation has not been charged on the basis of assets being considered as capital work in progress. Such assets were not put in use during financial year 2022-2023 as well. Therefore, such capitalization has been considered as capital work in progress.</t>
  </si>
  <si>
    <r>
      <t>(Notes to financial statements for the year ended 31</t>
    </r>
    <r>
      <rPr>
        <u/>
        <vertAlign val="superscript"/>
        <sz val="12"/>
        <color theme="1"/>
        <rFont val="Trebuchet MS"/>
        <family val="2"/>
      </rPr>
      <t>st</t>
    </r>
    <r>
      <rPr>
        <u/>
        <sz val="12"/>
        <color theme="1"/>
        <rFont val="Trebuchet MS"/>
        <family val="2"/>
      </rPr>
      <t xml:space="preserve"> March 2024)</t>
    </r>
  </si>
  <si>
    <t>Other notes to accounts</t>
  </si>
  <si>
    <t>Directors have waived their right to claim sitting fee for meetings of Board of Directors attended by them.</t>
  </si>
  <si>
    <t>The Company has identified that there is no material impairment of assets and as such no provision is required in terms of Accounting Standard-28.</t>
  </si>
  <si>
    <t>In the opinion of Board, the value on realization of current assets, loans and advances in the ordinary course of business shall not be less than the amount at which they are stated in the balance sheet and provision for all known liabilities has been made.</t>
  </si>
  <si>
    <t xml:space="preserve">As per Available records, The Company does not owe any sum to any Small and Medium Enterprises as required under the Micro Small and Medium Enterprises Development Act, 2006. </t>
  </si>
  <si>
    <t>The company is a Small and Medium Sized Company (SMC) as defined in the general instruction in respect of accounting standard notified under the companies act, 2013. Accordingly, the Company has complied with the accounting standards as applicable to an SMC.</t>
  </si>
  <si>
    <t>The company does not have any pending litigation, which would impact its financial position.</t>
  </si>
  <si>
    <t>The Company has no material foreseeable losses, which require provision under the applicable law or accounting standards on long-term contracts. The Company is not dealing in derivative contracts.</t>
  </si>
  <si>
    <t xml:space="preserve">There is no amount required to be transferred to the Investor Education and Protection Fund. </t>
  </si>
  <si>
    <t xml:space="preserve">Related Party Disclosure </t>
  </si>
  <si>
    <t>(As per Accounting Standard -18)</t>
  </si>
  <si>
    <r>
      <t xml:space="preserve">i) </t>
    </r>
    <r>
      <rPr>
        <b/>
        <u/>
        <sz val="12"/>
        <color theme="1"/>
        <rFont val="Trebuchet MS"/>
        <family val="2"/>
      </rPr>
      <t>Key Managerial Personnel and their relatives: -</t>
    </r>
  </si>
  <si>
    <r>
      <t xml:space="preserve">ii) </t>
    </r>
    <r>
      <rPr>
        <b/>
        <u/>
        <sz val="12"/>
        <color theme="1"/>
        <rFont val="Trebuchet MS"/>
        <family val="2"/>
      </rPr>
      <t>Individuals having interest in the voting power that gives them control over company: -</t>
    </r>
  </si>
  <si>
    <r>
      <t>iii) </t>
    </r>
    <r>
      <rPr>
        <b/>
        <u/>
        <sz val="12"/>
        <color theme="1"/>
        <rFont val="Trebuchet MS"/>
        <family val="2"/>
      </rPr>
      <t>Enterprise over which KMP &amp; their relatives have significant influence: -</t>
    </r>
  </si>
  <si>
    <r>
      <t xml:space="preserve">iv)  </t>
    </r>
    <r>
      <rPr>
        <b/>
        <u/>
        <sz val="12"/>
        <color theme="1"/>
        <rFont val="Trebuchet MS"/>
        <family val="2"/>
      </rPr>
      <t>Details of related party transactions between the Company and its related parties are as under (All amounts in Hundred Rupees, unless otherwise stated):-</t>
    </r>
  </si>
  <si>
    <t>Nature of Transaction</t>
  </si>
  <si>
    <t>2023-2024</t>
  </si>
  <si>
    <t>2022-2023</t>
  </si>
  <si>
    <t>Key Management Persons &amp; their Relatives</t>
  </si>
  <si>
    <t>Enterprises where KMP&amp; their relatives have significant influence</t>
  </si>
  <si>
    <t>Loan received</t>
  </si>
  <si>
    <t>Ganganand Jha</t>
  </si>
  <si>
    <t>Kumar Bhaskar</t>
  </si>
  <si>
    <t>-</t>
  </si>
  <si>
    <t>Alok Kumar</t>
  </si>
  <si>
    <t>Shwet Sharda Private Limited</t>
  </si>
  <si>
    <t xml:space="preserve">Loan repaid </t>
  </si>
  <si>
    <t>Outstanding unsecured loan</t>
  </si>
  <si>
    <t>Expenses incurred on behalf of company</t>
  </si>
  <si>
    <t>Reimbursement paid to director</t>
  </si>
  <si>
    <t>Refer Annexure -1 for the ratios for the year ended March 31, 2024 and March 31, 2023.</t>
  </si>
  <si>
    <t>For K N K &amp; Company</t>
  </si>
  <si>
    <t>Firm Regd. No. 033312N</t>
  </si>
  <si>
    <t xml:space="preserve">     </t>
  </si>
  <si>
    <t xml:space="preserve">Director                             </t>
  </si>
  <si>
    <t>M. No. 571982</t>
  </si>
  <si>
    <t>Date: September 09, 2024</t>
  </si>
  <si>
    <t>Private Limited</t>
  </si>
  <si>
    <t>These financial statements have been prepared in accordance with the generally accepted accounting principles in India under the historical cost convention on accrual basis. These financial statements have been prepared to comply in all material aspects with the accounting standards notified under the Companies (Accounting Standards) Rules, 2006 (as amended), specified under section 133 and other relevant provisions of the Companies Act, 2013.
All assets and liabilities have been classified as current or non-current as per the Company’s operating cycle and other criteria set out in the Schedule III to the Companies Act, 2013. Based on the nature of products and the time between the acquisition of assets for processing and their realization in cash and cash equivalents, the Company has ascertained its operating cycle as 12 months for the purpose of current – non-current classification of assets and liabilities.</t>
  </si>
  <si>
    <t>Contingent Liabilities: Contingent liabilities are disclosed when there is a possible obligation arising from past events, the  existence of which will be confirmed only by the occurrence or non occurrence of one or more uncertain future events not wholly within the obligation that arises from past events where it is either not probable that an outflow of resources will be required to settle or a reliable estimate of the amount cannot be made.</t>
  </si>
  <si>
    <t>The estimates of useful lives of tangible assets are as follows :</t>
  </si>
  <si>
    <t>Useful life</t>
  </si>
  <si>
    <t>Computers</t>
  </si>
  <si>
    <t>3 years</t>
  </si>
  <si>
    <t>Office Equipment</t>
  </si>
  <si>
    <t>5 years</t>
  </si>
  <si>
    <t>15 years</t>
  </si>
  <si>
    <t>Inventories</t>
  </si>
  <si>
    <t xml:space="preserve">Inventories are stated on weighted average method basis at the lower of cost and the net realisable value after providing for obsolescence and other losses, where considered necessary. Net realisable value represents the estimated selling price in the ordinary course of business, less estimated costs of completion and the estimated costs necessary to make the sale. </t>
  </si>
  <si>
    <t>The valuation of inventory has been made as per the requirement of AS-2 prescribed under companies (Accounting standards) Rules, 2006. Cost of finished goods, work-in-progress, raw materials, chemicals, stores and spares, packing materials, trading and other products are determined on weighted average basis.</t>
  </si>
  <si>
    <t>- Director 1</t>
  </si>
  <si>
    <t>- Director 2</t>
  </si>
  <si>
    <t>- Shareholder 1</t>
  </si>
  <si>
    <t>- Shareholder 2</t>
  </si>
  <si>
    <t>- XYZ Private Limited</t>
  </si>
  <si>
    <t>For ABC Private Limited</t>
  </si>
  <si>
    <t>Name</t>
  </si>
  <si>
    <r>
      <t>DIN :</t>
    </r>
    <r>
      <rPr>
        <sz val="12"/>
        <color theme="1"/>
        <rFont val="Trebuchet MS"/>
        <family val="2"/>
      </rPr>
      <t xml:space="preserve"> </t>
    </r>
  </si>
  <si>
    <t xml:space="preserve">DIN : </t>
  </si>
  <si>
    <t xml:space="preserve">UDIN:- </t>
  </si>
  <si>
    <t>CA Name</t>
  </si>
  <si>
    <t>Previous year figures</t>
  </si>
  <si>
    <t>Previous year figures have been regrouped wherever necessary to confirm to the current year's classification.</t>
  </si>
  <si>
    <t>Abhisarga Construction Private Limited</t>
  </si>
  <si>
    <t>CIN:- U45209TG2013PTC088576</t>
  </si>
  <si>
    <t>Cash Flow Statement For The Year Ended March 31, 2025</t>
  </si>
  <si>
    <t>(All amounts in thousand rupees, unless otherwise stated)</t>
  </si>
  <si>
    <t>For the year ended
March 31, 2025</t>
  </si>
  <si>
    <t>For the year ended
March 31, 2024</t>
  </si>
  <si>
    <t>A.</t>
  </si>
  <si>
    <t>Cash Flow From Operating Activities</t>
  </si>
  <si>
    <t>Net Profit Transferred To Reserves</t>
  </si>
  <si>
    <t>Adjustments For:</t>
  </si>
  <si>
    <t>Depreciation And Amortisation Expense</t>
  </si>
  <si>
    <t>(Profit) / Loss On Sale Of Fixed Assets</t>
  </si>
  <si>
    <t>(Profit) / Loss On Redemption Of Investments</t>
  </si>
  <si>
    <t>Interest And Other Income On Investments</t>
  </si>
  <si>
    <t>Interest Expenses</t>
  </si>
  <si>
    <t>Tax Expense</t>
  </si>
  <si>
    <t>Operating Profit / (Loss) Before Working Capital Changes</t>
  </si>
  <si>
    <t>Changes In Working Capital:</t>
  </si>
  <si>
    <t>Increase / (Decrease) In Trade Payable</t>
  </si>
  <si>
    <t>Increase / (Decrease) In Short Term Borrowing</t>
  </si>
  <si>
    <t>Increase / (Decrease) In Provisions</t>
  </si>
  <si>
    <t>Increase / (Decrease) In Deferred Tax Liabilities</t>
  </si>
  <si>
    <t>(Increase) / Decrease In Deferred Tax Assets</t>
  </si>
  <si>
    <t>Increase / (Decrease) In Other Current Liabilities</t>
  </si>
  <si>
    <t>(Increase) / Decrease In Short Term Loan And Advances</t>
  </si>
  <si>
    <t>(Increase) / Decrease In Trade Receivables</t>
  </si>
  <si>
    <t>(Increase) / Decrease In Inventories</t>
  </si>
  <si>
    <t>(Increase) / Decrease In Other Current Assets</t>
  </si>
  <si>
    <t xml:space="preserve">Cash Flow From / (Used In) Operating Activities                     </t>
  </si>
  <si>
    <t>Less: Taxes Paid</t>
  </si>
  <si>
    <t xml:space="preserve">Net Cash Flow From / (Used In) Operating Activities                     </t>
  </si>
  <si>
    <t>B.</t>
  </si>
  <si>
    <t>Cash Flow From Investing Activities</t>
  </si>
  <si>
    <t>Purchase Of Tangible / Intangible Assets</t>
  </si>
  <si>
    <t>Sale Of Tangible / Intangible Assets</t>
  </si>
  <si>
    <t>(Increase) / Decrease In Long Term Loan And Advances</t>
  </si>
  <si>
    <t>(Profit)/Loss On Redemption Of Investments</t>
  </si>
  <si>
    <t>Investment In Fixed Deposits</t>
  </si>
  <si>
    <t>Dividend/ Bank Interest Received</t>
  </si>
  <si>
    <t xml:space="preserve">Net Cash Flow From / (Used In) Investing Activities                 </t>
  </si>
  <si>
    <t>C.</t>
  </si>
  <si>
    <t>Cash Flow From Financing Activities</t>
  </si>
  <si>
    <t>Share Capital Issued</t>
  </si>
  <si>
    <t>Increase/(Decrease) In Other Long-Term Liabilities</t>
  </si>
  <si>
    <t>Increase/(Decrease) In Long-Term Borrowing</t>
  </si>
  <si>
    <t xml:space="preserve">Net Cash Flow From / (Used In) Financing Activities           </t>
  </si>
  <si>
    <t xml:space="preserve">Net Increase / (Decrease) In Cash &amp; Cash Equivalents  (A+B+C)                                  </t>
  </si>
  <si>
    <t>Cash And Cash Equivalents At Beginning Period</t>
  </si>
  <si>
    <t>Cash And Cash Equivalents At End Of Period</t>
  </si>
  <si>
    <t>D.</t>
  </si>
  <si>
    <t>Cash and Cash equivalents comprise of</t>
  </si>
  <si>
    <t>Balances with banks</t>
  </si>
  <si>
    <t xml:space="preserve">In current accounts </t>
  </si>
  <si>
    <t>This Cash Flow Statement has been prepared as per "Indirect Method" as prescribed by Accounting Standard -3 (revised) "Cash Flow Statements"</t>
  </si>
  <si>
    <t>Notes referred to above form an integral part of the Financial Statements.</t>
  </si>
  <si>
    <t>For N K Mehta and Associates</t>
  </si>
  <si>
    <t>ICAI Firm Registration No.: 041026N</t>
  </si>
  <si>
    <t>Kunal Mehta</t>
  </si>
  <si>
    <t>Shyama Govind Rao Padiyalker</t>
  </si>
  <si>
    <t>Siddharth Kumar Padiyalkar</t>
  </si>
  <si>
    <t>Membership No.: 571982</t>
  </si>
  <si>
    <t>DIN.: 06528007</t>
  </si>
  <si>
    <t>DIN.: 06571488</t>
  </si>
  <si>
    <t>Date:- September 02, 2025</t>
  </si>
  <si>
    <t>UDIN:- 25571982BMUNUH9248</t>
  </si>
  <si>
    <t>For the year ended                      
 31 March, 2025</t>
  </si>
  <si>
    <t>For the year ended                      
 31 March, 2024</t>
  </si>
  <si>
    <t>Basic EPS</t>
  </si>
  <si>
    <t>Weighted average number of equity shares</t>
  </si>
  <si>
    <t>Earning per share (basic)</t>
  </si>
  <si>
    <t>Diluted EPS</t>
  </si>
  <si>
    <t>Number of fresh equity shares issued</t>
  </si>
  <si>
    <t>Issue date</t>
  </si>
  <si>
    <t>Outstanding months</t>
  </si>
  <si>
    <t>6 months</t>
  </si>
  <si>
    <t>Weight</t>
  </si>
  <si>
    <t>Weighted average number of newly issued equity shares for basic eps</t>
  </si>
  <si>
    <t>Weighted average number equity shares for basic eps</t>
  </si>
  <si>
    <t>Earning per share (diluted)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</si>
</sst>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_(* \(#,##0.00\);_(* &quot;-&quot;??_);_(@_)"/>
    <numFmt numFmtId="165" formatCode="&quot;₹&quot;\ #,##0.00"/>
    <numFmt numFmtId="166" formatCode="_(* #,##0_);_(* \(#,##0\);_(* &quot;-&quot;??_);_(@_)"/>
    <numFmt numFmtId="167" formatCode="_(* #,##0.00_);_(* \(#,##0.00\);_(* &quot;-&quot;_);_(@_)"/>
    <numFmt numFmtId="168" formatCode="_ * #,##0.000_ ;_ * \-#,##0.000_ ;_ * &quot;-&quot;??_ ;_ @_ "/>
  </numFmts>
  <fonts count="29" x14ac:knownFonts="1">
    <font>
      <sz val="11"/>
      <color theme="1"/>
      <name val="Calibri"/>
      <family val="2"/>
      <scheme val="minor"/>
    </font>
    <font>
      <sz val="11"/>
      <color theme="1"/>
      <name val="Calibri"/>
      <family val="2"/>
      <scheme val="minor"/>
    </font>
    <font>
      <sz val="11"/>
      <color indexed="8"/>
      <name val="Calibri"/>
      <family val="2"/>
    </font>
    <font>
      <sz val="10"/>
      <name val="Arial"/>
      <family val="2"/>
    </font>
    <font>
      <b/>
      <sz val="11.5"/>
      <color theme="1"/>
      <name val="Calibri"/>
      <family val="2"/>
      <scheme val="minor"/>
    </font>
    <font>
      <sz val="11.5"/>
      <color theme="1"/>
      <name val="Calibri"/>
      <family val="2"/>
      <scheme val="minor"/>
    </font>
    <font>
      <b/>
      <sz val="11.5"/>
      <color indexed="8"/>
      <name val="Calibri"/>
      <family val="2"/>
      <scheme val="minor"/>
    </font>
    <font>
      <sz val="11.5"/>
      <color indexed="8"/>
      <name val="Calibri"/>
      <family val="2"/>
      <scheme val="minor"/>
    </font>
    <font>
      <b/>
      <sz val="11.5"/>
      <name val="Calibri"/>
      <family val="2"/>
      <scheme val="minor"/>
    </font>
    <font>
      <sz val="11.5"/>
      <name val="Calibri"/>
      <family val="2"/>
      <scheme val="minor"/>
    </font>
    <font>
      <b/>
      <u/>
      <sz val="11.5"/>
      <name val="Calibri"/>
      <family val="2"/>
      <scheme val="minor"/>
    </font>
    <font>
      <b/>
      <u/>
      <sz val="11.5"/>
      <color indexed="8"/>
      <name val="Calibri"/>
      <family val="2"/>
      <scheme val="minor"/>
    </font>
    <font>
      <b/>
      <sz val="12"/>
      <color theme="1"/>
      <name val="Calibri"/>
      <family val="2"/>
      <scheme val="minor"/>
    </font>
    <font>
      <u/>
      <sz val="11.5"/>
      <name val="Calibri"/>
      <family val="2"/>
      <scheme val="minor"/>
    </font>
    <font>
      <b/>
      <sz val="10"/>
      <name val="Arial"/>
      <family val="2"/>
    </font>
    <font>
      <b/>
      <sz val="11"/>
      <color theme="1"/>
      <name val="Trebuchet MS"/>
      <family val="2"/>
    </font>
    <font>
      <sz val="11"/>
      <color theme="1"/>
      <name val="Trebuchet MS"/>
      <family val="2"/>
    </font>
    <font>
      <b/>
      <u/>
      <sz val="12"/>
      <color theme="1"/>
      <name val="Trebuchet MS"/>
      <family val="2"/>
    </font>
    <font>
      <sz val="12"/>
      <color theme="1"/>
      <name val="Trebuchet MS"/>
      <family val="2"/>
    </font>
    <font>
      <b/>
      <u/>
      <vertAlign val="superscript"/>
      <sz val="12"/>
      <color theme="1"/>
      <name val="Trebuchet MS"/>
      <family val="2"/>
    </font>
    <font>
      <b/>
      <sz val="12"/>
      <color theme="1"/>
      <name val="Trebuchet MS"/>
      <family val="2"/>
    </font>
    <font>
      <b/>
      <u/>
      <sz val="12"/>
      <color rgb="FF000000"/>
      <name val="Trebuchet MS"/>
      <family val="2"/>
    </font>
    <font>
      <u/>
      <sz val="12"/>
      <color theme="1"/>
      <name val="Trebuchet MS"/>
      <family val="2"/>
    </font>
    <font>
      <u/>
      <vertAlign val="superscript"/>
      <sz val="12"/>
      <color theme="1"/>
      <name val="Trebuchet MS"/>
      <family val="2"/>
    </font>
    <font>
      <b/>
      <sz val="11"/>
      <color theme="1"/>
      <name val="Calibri"/>
      <family val="2"/>
      <scheme val="minor"/>
    </font>
    <font>
      <b/>
      <sz val="11"/>
      <name val="Calibri"/>
      <family val="2"/>
      <scheme val="minor"/>
    </font>
    <font>
      <sz val="11"/>
      <name val="Calibri"/>
      <family val="2"/>
      <scheme val="minor"/>
    </font>
    <font>
      <b/>
      <u/>
      <sz val="11"/>
      <name val="Calibri"/>
      <family val="2"/>
      <scheme val="minor"/>
    </font>
    <font>
      <b/>
      <sz val="11"/>
      <color indexed="8"/>
      <name val="Calibri"/>
      <family val="2"/>
      <scheme val="minor"/>
    </font>
  </fonts>
  <fills count="5">
    <fill>
      <patternFill patternType="none"/>
    </fill>
    <fill>
      <patternFill patternType="gray125"/>
    </fill>
    <fill>
      <patternFill patternType="solid">
        <fgColor indexed="65"/>
        <bgColor indexed="64"/>
      </patternFill>
    </fill>
    <fill>
      <patternFill patternType="solid">
        <fgColor rgb="FFFFFF00"/>
        <bgColor indexed="64"/>
      </patternFill>
    </fill>
    <fill>
      <patternFill patternType="solid">
        <fgColor indexed="9"/>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indexed="64"/>
      </bottom>
      <diagonal/>
    </border>
    <border>
      <left/>
      <right/>
      <top style="thick">
        <color indexed="64"/>
      </top>
      <bottom/>
      <diagonal/>
    </border>
  </borders>
  <cellStyleXfs count="9">
    <xf numFmtId="0" fontId="0" fillId="0" borderId="0"/>
    <xf numFmtId="16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43" fontId="1" fillId="0" borderId="0" applyFont="0" applyFill="0" applyBorder="0" applyAlignment="0" applyProtection="0"/>
    <xf numFmtId="164" fontId="1" fillId="0" borderId="0" applyFont="0" applyFill="0" applyBorder="0" applyAlignment="0" applyProtection="0"/>
  </cellStyleXfs>
  <cellXfs count="331">
    <xf numFmtId="0" fontId="0" fillId="0" borderId="0" xfId="0"/>
    <xf numFmtId="0" fontId="5" fillId="0" borderId="0" xfId="0" applyFont="1"/>
    <xf numFmtId="0" fontId="4" fillId="0" borderId="8" xfId="0" applyFont="1" applyBorder="1" applyAlignment="1">
      <alignment horizontal="center"/>
    </xf>
    <xf numFmtId="0" fontId="4" fillId="0" borderId="0" xfId="0" applyFont="1"/>
    <xf numFmtId="0" fontId="5" fillId="0" borderId="10" xfId="0" applyFont="1" applyBorder="1"/>
    <xf numFmtId="0" fontId="5" fillId="0" borderId="8" xfId="0" applyFont="1" applyBorder="1" applyAlignment="1">
      <alignment horizontal="center"/>
    </xf>
    <xf numFmtId="166" fontId="5" fillId="0" borderId="10" xfId="1" applyNumberFormat="1" applyFont="1" applyBorder="1"/>
    <xf numFmtId="0" fontId="5" fillId="0" borderId="0" xfId="0" quotePrefix="1" applyFont="1"/>
    <xf numFmtId="0" fontId="5" fillId="0" borderId="8" xfId="0" applyFont="1" applyBorder="1"/>
    <xf numFmtId="0" fontId="5" fillId="0" borderId="1" xfId="0" applyFont="1" applyBorder="1"/>
    <xf numFmtId="0" fontId="4" fillId="0" borderId="2" xfId="0" applyFont="1" applyBorder="1"/>
    <xf numFmtId="0" fontId="5" fillId="0" borderId="7" xfId="0" applyFont="1" applyBorder="1"/>
    <xf numFmtId="0" fontId="5" fillId="0" borderId="5" xfId="0" applyFont="1" applyBorder="1"/>
    <xf numFmtId="0" fontId="5" fillId="0" borderId="4" xfId="0" applyFont="1" applyBorder="1"/>
    <xf numFmtId="0" fontId="5" fillId="0" borderId="13" xfId="0" applyFont="1" applyBorder="1"/>
    <xf numFmtId="0" fontId="5" fillId="0" borderId="10" xfId="0" applyFont="1" applyBorder="1" applyAlignment="1">
      <alignment horizontal="center"/>
    </xf>
    <xf numFmtId="0" fontId="5" fillId="0" borderId="11" xfId="0" applyFont="1" applyBorder="1"/>
    <xf numFmtId="0" fontId="5" fillId="0" borderId="12" xfId="0" applyFont="1" applyBorder="1"/>
    <xf numFmtId="0" fontId="5" fillId="0" borderId="15" xfId="0" applyFont="1" applyBorder="1"/>
    <xf numFmtId="0" fontId="4" fillId="0" borderId="7" xfId="0" applyFont="1" applyBorder="1" applyAlignment="1">
      <alignment horizontal="center"/>
    </xf>
    <xf numFmtId="0" fontId="4" fillId="0" borderId="0" xfId="0" applyFont="1" applyAlignment="1">
      <alignment horizontal="center"/>
    </xf>
    <xf numFmtId="0" fontId="4" fillId="0" borderId="10" xfId="0" applyFont="1" applyBorder="1" applyAlignment="1">
      <alignment horizontal="center"/>
    </xf>
    <xf numFmtId="0" fontId="4" fillId="0" borderId="1" xfId="0" applyFont="1" applyBorder="1" applyAlignment="1">
      <alignment horizontal="center"/>
    </xf>
    <xf numFmtId="0" fontId="4" fillId="0" borderId="9" xfId="0" applyFont="1" applyBorder="1" applyAlignment="1">
      <alignment horizontal="center"/>
    </xf>
    <xf numFmtId="0" fontId="5" fillId="0" borderId="9" xfId="0" applyFont="1" applyBorder="1"/>
    <xf numFmtId="0" fontId="5" fillId="0" borderId="3" xfId="0" applyFont="1" applyBorder="1"/>
    <xf numFmtId="0" fontId="5" fillId="0" borderId="14" xfId="0" applyFont="1" applyBorder="1"/>
    <xf numFmtId="164" fontId="5" fillId="0" borderId="15" xfId="1" applyFont="1" applyBorder="1"/>
    <xf numFmtId="0" fontId="4" fillId="0" borderId="3" xfId="0" applyFont="1" applyBorder="1"/>
    <xf numFmtId="0" fontId="4" fillId="0" borderId="9" xfId="0" applyFont="1" applyBorder="1"/>
    <xf numFmtId="0" fontId="5" fillId="0" borderId="9" xfId="0" quotePrefix="1" applyFont="1" applyBorder="1"/>
    <xf numFmtId="0" fontId="4" fillId="0" borderId="9" xfId="0" quotePrefix="1" applyFont="1" applyBorder="1"/>
    <xf numFmtId="0" fontId="6" fillId="0" borderId="0" xfId="0" applyFont="1" applyAlignment="1">
      <alignment horizontal="left" vertical="top"/>
    </xf>
    <xf numFmtId="166" fontId="7" fillId="0" borderId="0" xfId="1" applyNumberFormat="1" applyFont="1" applyFill="1" applyAlignment="1">
      <alignment vertical="top"/>
    </xf>
    <xf numFmtId="166" fontId="7" fillId="0" borderId="0" xfId="1" applyNumberFormat="1" applyFont="1" applyFill="1" applyBorder="1" applyAlignment="1">
      <alignment vertical="top"/>
    </xf>
    <xf numFmtId="164" fontId="7" fillId="0" borderId="0" xfId="1" applyFont="1" applyFill="1" applyBorder="1" applyAlignment="1">
      <alignment vertical="top"/>
    </xf>
    <xf numFmtId="0" fontId="7" fillId="0" borderId="0" xfId="0" applyFont="1" applyAlignment="1">
      <alignment vertical="top"/>
    </xf>
    <xf numFmtId="0" fontId="6" fillId="0" borderId="0" xfId="0" applyFont="1" applyAlignment="1">
      <alignment vertical="top"/>
    </xf>
    <xf numFmtId="0" fontId="10" fillId="0" borderId="0" xfId="0" applyFont="1"/>
    <xf numFmtId="4" fontId="5" fillId="0" borderId="10" xfId="0" applyNumberFormat="1" applyFont="1" applyBorder="1"/>
    <xf numFmtId="166" fontId="7" fillId="0" borderId="10" xfId="1" applyNumberFormat="1" applyFont="1" applyFill="1" applyBorder="1" applyAlignment="1" applyProtection="1">
      <alignment horizontal="center" vertical="center"/>
      <protection locked="0"/>
    </xf>
    <xf numFmtId="166" fontId="5" fillId="0" borderId="10" xfId="1" applyNumberFormat="1" applyFont="1" applyFill="1" applyBorder="1" applyAlignment="1" applyProtection="1">
      <alignment horizontal="center"/>
      <protection locked="0"/>
    </xf>
    <xf numFmtId="164" fontId="5" fillId="0" borderId="10" xfId="1" applyFont="1" applyFill="1" applyBorder="1" applyAlignment="1" applyProtection="1">
      <alignment horizontal="center"/>
      <protection locked="0"/>
    </xf>
    <xf numFmtId="1" fontId="7" fillId="0" borderId="15" xfId="4" applyNumberFormat="1" applyFont="1" applyBorder="1" applyAlignment="1" applyProtection="1">
      <alignment horizontal="left" vertical="center"/>
      <protection locked="0"/>
    </xf>
    <xf numFmtId="0" fontId="7" fillId="0" borderId="0" xfId="0" quotePrefix="1" applyFont="1" applyAlignment="1">
      <alignment horizontal="left" vertical="top" wrapText="1" indent="1"/>
    </xf>
    <xf numFmtId="164" fontId="7" fillId="0" borderId="0" xfId="1" applyFont="1" applyFill="1" applyBorder="1" applyAlignment="1">
      <alignment vertical="top" wrapText="1"/>
    </xf>
    <xf numFmtId="164" fontId="9" fillId="0" borderId="0" xfId="3" applyNumberFormat="1" applyFont="1" applyFill="1" applyBorder="1" applyAlignment="1">
      <alignment horizontal="center" vertical="top"/>
    </xf>
    <xf numFmtId="166" fontId="9" fillId="0" borderId="0" xfId="1" applyNumberFormat="1" applyFont="1" applyFill="1" applyBorder="1"/>
    <xf numFmtId="0" fontId="8" fillId="0" borderId="12" xfId="0" applyFont="1" applyBorder="1"/>
    <xf numFmtId="1" fontId="7" fillId="0" borderId="10" xfId="4" applyNumberFormat="1" applyFont="1" applyBorder="1" applyAlignment="1" applyProtection="1">
      <alignment horizontal="left" vertical="center"/>
      <protection locked="0"/>
    </xf>
    <xf numFmtId="166" fontId="7" fillId="0" borderId="9" xfId="1" applyNumberFormat="1" applyFont="1" applyFill="1" applyBorder="1" applyAlignment="1" applyProtection="1">
      <alignment horizontal="left" vertical="center"/>
      <protection locked="0"/>
    </xf>
    <xf numFmtId="164" fontId="5" fillId="0" borderId="10" xfId="1" applyFont="1" applyFill="1" applyBorder="1" applyAlignment="1" applyProtection="1">
      <alignment horizontal="center" vertical="center"/>
      <protection locked="0"/>
    </xf>
    <xf numFmtId="0" fontId="6" fillId="0" borderId="12" xfId="0" applyFont="1" applyBorder="1" applyAlignment="1">
      <alignment vertical="top"/>
    </xf>
    <xf numFmtId="0" fontId="11" fillId="0" borderId="12" xfId="0" applyFont="1" applyBorder="1" applyAlignment="1">
      <alignment vertical="top"/>
    </xf>
    <xf numFmtId="0" fontId="8" fillId="0" borderId="7" xfId="0" applyFont="1" applyBorder="1" applyAlignment="1">
      <alignment horizontal="center" vertical="center" wrapText="1"/>
    </xf>
    <xf numFmtId="0" fontId="10" fillId="2" borderId="8" xfId="0" applyFont="1" applyFill="1" applyBorder="1" applyAlignment="1">
      <alignment horizontal="left"/>
    </xf>
    <xf numFmtId="0" fontId="7" fillId="0" borderId="0" xfId="0" applyFont="1" applyAlignment="1">
      <alignment horizontal="center" vertical="top"/>
    </xf>
    <xf numFmtId="0" fontId="7" fillId="0" borderId="10" xfId="0" applyFont="1" applyBorder="1" applyAlignment="1">
      <alignment vertical="top"/>
    </xf>
    <xf numFmtId="0" fontId="9" fillId="2" borderId="8" xfId="0" applyFont="1" applyFill="1" applyBorder="1"/>
    <xf numFmtId="0" fontId="8" fillId="2" borderId="8" xfId="0" applyFont="1" applyFill="1" applyBorder="1" applyAlignment="1">
      <alignment horizontal="left"/>
    </xf>
    <xf numFmtId="0" fontId="10" fillId="2" borderId="8" xfId="0" applyFont="1" applyFill="1" applyBorder="1"/>
    <xf numFmtId="0" fontId="9" fillId="2" borderId="0" xfId="0" applyFont="1" applyFill="1"/>
    <xf numFmtId="167" fontId="9" fillId="0" borderId="10" xfId="2" applyNumberFormat="1" applyFont="1" applyFill="1" applyBorder="1" applyAlignment="1">
      <alignment horizontal="center"/>
    </xf>
    <xf numFmtId="167" fontId="8" fillId="2" borderId="7" xfId="2" applyNumberFormat="1" applyFont="1" applyFill="1" applyBorder="1" applyAlignment="1">
      <alignment horizontal="center"/>
    </xf>
    <xf numFmtId="165" fontId="8" fillId="0" borderId="1" xfId="0" applyNumberFormat="1" applyFont="1" applyBorder="1" applyAlignment="1">
      <alignment vertical="center"/>
    </xf>
    <xf numFmtId="165" fontId="8" fillId="0" borderId="2" xfId="0" applyNumberFormat="1" applyFont="1" applyBorder="1" applyAlignment="1">
      <alignment vertical="center"/>
    </xf>
    <xf numFmtId="165" fontId="8" fillId="0" borderId="0" xfId="0" applyNumberFormat="1" applyFont="1" applyAlignment="1">
      <alignment vertical="center"/>
    </xf>
    <xf numFmtId="0" fontId="8" fillId="0" borderId="10" xfId="0" applyFont="1" applyBorder="1" applyAlignment="1">
      <alignment horizontal="center" vertical="center" wrapText="1"/>
    </xf>
    <xf numFmtId="0" fontId="7" fillId="0" borderId="10" xfId="0" applyFont="1" applyBorder="1" applyAlignment="1">
      <alignment horizontal="center" vertical="top"/>
    </xf>
    <xf numFmtId="43" fontId="9" fillId="2" borderId="10" xfId="2" applyFont="1" applyFill="1" applyBorder="1" applyAlignment="1"/>
    <xf numFmtId="43" fontId="6" fillId="0" borderId="7" xfId="0" applyNumberFormat="1" applyFont="1" applyBorder="1" applyAlignment="1">
      <alignment horizontal="center" vertical="top"/>
    </xf>
    <xf numFmtId="166" fontId="9" fillId="0" borderId="12" xfId="1" applyNumberFormat="1" applyFont="1" applyFill="1" applyBorder="1"/>
    <xf numFmtId="0" fontId="9" fillId="0" borderId="0" xfId="0" applyFont="1" applyAlignment="1">
      <alignment horizontal="left" vertical="top"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9" fillId="2" borderId="8" xfId="0" applyFont="1" applyFill="1" applyBorder="1" applyAlignment="1">
      <alignment horizontal="left"/>
    </xf>
    <xf numFmtId="0" fontId="7" fillId="0" borderId="4" xfId="0" applyFont="1" applyBorder="1" applyAlignment="1">
      <alignment horizontal="center" vertical="top"/>
    </xf>
    <xf numFmtId="0" fontId="7" fillId="0" borderId="5" xfId="0" applyFont="1" applyBorder="1" applyAlignment="1">
      <alignment horizontal="center" vertical="top"/>
    </xf>
    <xf numFmtId="0" fontId="5" fillId="0" borderId="0" xfId="0" applyFont="1" applyAlignment="1">
      <alignment horizontal="left"/>
    </xf>
    <xf numFmtId="43" fontId="9" fillId="2" borderId="8" xfId="2" applyFont="1" applyFill="1" applyBorder="1" applyAlignment="1">
      <alignment horizontal="center"/>
    </xf>
    <xf numFmtId="43" fontId="9" fillId="2" borderId="10" xfId="2" applyFont="1" applyFill="1" applyBorder="1" applyAlignment="1">
      <alignment horizontal="center"/>
    </xf>
    <xf numFmtId="0" fontId="7" fillId="0" borderId="8" xfId="0" applyFont="1" applyBorder="1" applyAlignment="1">
      <alignment horizontal="center" vertical="top"/>
    </xf>
    <xf numFmtId="0" fontId="11" fillId="0" borderId="0" xfId="0" applyFont="1" applyAlignment="1">
      <alignment vertical="top"/>
    </xf>
    <xf numFmtId="0" fontId="8" fillId="0" borderId="4" xfId="0" applyFont="1" applyBorder="1" applyAlignment="1">
      <alignment vertical="top"/>
    </xf>
    <xf numFmtId="0" fontId="8" fillId="0" borderId="11" xfId="0" applyFont="1" applyBorder="1" applyAlignment="1">
      <alignment vertical="top"/>
    </xf>
    <xf numFmtId="0" fontId="9" fillId="0" borderId="8" xfId="0" applyFont="1" applyBorder="1" applyAlignment="1">
      <alignment vertical="top"/>
    </xf>
    <xf numFmtId="166" fontId="8" fillId="0" borderId="7" xfId="1" applyNumberFormat="1" applyFont="1" applyFill="1" applyBorder="1" applyAlignment="1">
      <alignment horizontal="center" vertical="top"/>
    </xf>
    <xf numFmtId="166" fontId="8" fillId="0" borderId="7" xfId="1" applyNumberFormat="1" applyFont="1" applyFill="1" applyBorder="1" applyAlignment="1">
      <alignment horizontal="center" vertical="center"/>
    </xf>
    <xf numFmtId="166" fontId="7" fillId="0" borderId="15" xfId="1" applyNumberFormat="1" applyFont="1" applyFill="1" applyBorder="1" applyAlignment="1" applyProtection="1">
      <alignment horizontal="center" vertical="center"/>
      <protection locked="0"/>
    </xf>
    <xf numFmtId="164" fontId="5" fillId="0" borderId="15" xfId="1" applyFont="1" applyFill="1" applyBorder="1" applyAlignment="1" applyProtection="1">
      <alignment horizontal="center"/>
      <protection locked="0"/>
    </xf>
    <xf numFmtId="166" fontId="7" fillId="0" borderId="14" xfId="1" applyNumberFormat="1" applyFont="1" applyFill="1" applyBorder="1" applyAlignment="1" applyProtection="1">
      <alignment horizontal="left" vertical="center"/>
      <protection locked="0"/>
    </xf>
    <xf numFmtId="164" fontId="5" fillId="0" borderId="15" xfId="1" applyFont="1" applyFill="1" applyBorder="1" applyAlignment="1" applyProtection="1">
      <alignment horizontal="center" vertical="center"/>
      <protection locked="0"/>
    </xf>
    <xf numFmtId="164" fontId="9" fillId="0" borderId="10" xfId="1" applyFont="1" applyFill="1" applyBorder="1" applyAlignment="1">
      <alignment horizontal="center" vertical="center" wrapText="1"/>
    </xf>
    <xf numFmtId="0" fontId="10" fillId="0" borderId="8" xfId="0" applyFont="1" applyBorder="1" applyAlignment="1">
      <alignment horizontal="left"/>
    </xf>
    <xf numFmtId="0" fontId="9" fillId="0" borderId="8" xfId="0" applyFont="1" applyBorder="1" applyAlignment="1">
      <alignment horizontal="left"/>
    </xf>
    <xf numFmtId="164" fontId="7" fillId="0" borderId="10" xfId="1" applyFont="1" applyFill="1" applyBorder="1" applyAlignment="1">
      <alignment horizontal="center" vertical="top" wrapText="1"/>
    </xf>
    <xf numFmtId="164" fontId="8" fillId="0" borderId="7" xfId="1" applyFont="1" applyFill="1" applyBorder="1" applyAlignment="1">
      <alignment horizontal="center" vertical="top"/>
    </xf>
    <xf numFmtId="166" fontId="9" fillId="0" borderId="10" xfId="1" applyNumberFormat="1" applyFont="1" applyFill="1" applyBorder="1"/>
    <xf numFmtId="166" fontId="9" fillId="0" borderId="7" xfId="1" applyNumberFormat="1" applyFont="1" applyFill="1" applyBorder="1"/>
    <xf numFmtId="166" fontId="6" fillId="0" borderId="7" xfId="1" applyNumberFormat="1" applyFont="1" applyFill="1" applyBorder="1" applyAlignment="1">
      <alignment horizontal="center" vertical="top" wrapText="1"/>
    </xf>
    <xf numFmtId="164" fontId="9" fillId="0" borderId="10" xfId="1" applyFont="1" applyFill="1" applyBorder="1" applyAlignment="1">
      <alignment vertical="top"/>
    </xf>
    <xf numFmtId="43" fontId="9" fillId="2" borderId="8" xfId="2" applyFont="1" applyFill="1" applyBorder="1" applyAlignment="1"/>
    <xf numFmtId="164" fontId="5" fillId="0" borderId="10" xfId="1" applyFont="1" applyBorder="1"/>
    <xf numFmtId="164" fontId="9" fillId="0" borderId="10" xfId="1" applyFont="1" applyFill="1" applyBorder="1" applyAlignment="1">
      <alignment vertical="center" wrapText="1"/>
    </xf>
    <xf numFmtId="0" fontId="8" fillId="0" borderId="10" xfId="0" applyFont="1" applyBorder="1" applyAlignment="1">
      <alignment vertical="center" wrapText="1"/>
    </xf>
    <xf numFmtId="43" fontId="6" fillId="0" borderId="7" xfId="0" applyNumberFormat="1" applyFont="1" applyBorder="1" applyAlignment="1">
      <alignment vertical="top"/>
    </xf>
    <xf numFmtId="164" fontId="9" fillId="0" borderId="10" xfId="1" applyFont="1" applyFill="1" applyBorder="1" applyAlignment="1">
      <alignment wrapText="1"/>
    </xf>
    <xf numFmtId="164" fontId="7" fillId="0" borderId="10" xfId="1" applyFont="1" applyBorder="1" applyAlignment="1">
      <alignment vertical="top"/>
    </xf>
    <xf numFmtId="164" fontId="6" fillId="0" borderId="10" xfId="1" applyFont="1" applyBorder="1" applyAlignment="1">
      <alignment vertical="top"/>
    </xf>
    <xf numFmtId="166" fontId="7" fillId="0" borderId="10" xfId="1" applyNumberFormat="1" applyFont="1" applyFill="1" applyBorder="1" applyAlignment="1">
      <alignment vertical="top"/>
    </xf>
    <xf numFmtId="166" fontId="9" fillId="0" borderId="15" xfId="1" applyNumberFormat="1" applyFont="1" applyFill="1" applyBorder="1" applyAlignment="1">
      <alignment vertical="top"/>
    </xf>
    <xf numFmtId="164" fontId="9" fillId="0" borderId="15" xfId="1" applyFont="1" applyFill="1" applyBorder="1" applyAlignment="1">
      <alignment vertical="top"/>
    </xf>
    <xf numFmtId="164" fontId="7" fillId="0" borderId="10" xfId="1" applyFont="1" applyFill="1" applyBorder="1" applyAlignment="1">
      <alignment vertical="top"/>
    </xf>
    <xf numFmtId="0" fontId="9" fillId="0" borderId="11" xfId="0" applyFont="1" applyBorder="1" applyAlignment="1">
      <alignment vertical="top"/>
    </xf>
    <xf numFmtId="166" fontId="9" fillId="0" borderId="10" xfId="1" applyNumberFormat="1" applyFont="1" applyFill="1" applyBorder="1" applyAlignment="1">
      <alignment vertical="top"/>
    </xf>
    <xf numFmtId="167" fontId="9" fillId="0" borderId="10" xfId="2" applyNumberFormat="1" applyFont="1" applyFill="1" applyBorder="1" applyAlignment="1"/>
    <xf numFmtId="0" fontId="7" fillId="0" borderId="8" xfId="0" applyFont="1" applyBorder="1" applyAlignment="1">
      <alignment horizontal="left" vertical="top"/>
    </xf>
    <xf numFmtId="0" fontId="9" fillId="0" borderId="0" xfId="0" applyFont="1"/>
    <xf numFmtId="0" fontId="8" fillId="0" borderId="0" xfId="0" applyFont="1"/>
    <xf numFmtId="0" fontId="8" fillId="0" borderId="8" xfId="0" applyFont="1" applyBorder="1"/>
    <xf numFmtId="0" fontId="8" fillId="0" borderId="9" xfId="0" applyFont="1" applyBorder="1"/>
    <xf numFmtId="164" fontId="5" fillId="0" borderId="0" xfId="5" applyFont="1" applyFill="1" applyBorder="1"/>
    <xf numFmtId="164" fontId="5" fillId="0" borderId="9" xfId="5" applyFont="1" applyFill="1" applyBorder="1"/>
    <xf numFmtId="0" fontId="8" fillId="0" borderId="13" xfId="0" applyFont="1" applyBorder="1" applyAlignment="1">
      <alignment horizontal="center"/>
    </xf>
    <xf numFmtId="164" fontId="8" fillId="0" borderId="13" xfId="5" applyFont="1" applyBorder="1"/>
    <xf numFmtId="164" fontId="8" fillId="0" borderId="6" xfId="5" applyFont="1" applyBorder="1"/>
    <xf numFmtId="0" fontId="8" fillId="0" borderId="2" xfId="0" applyFont="1" applyBorder="1" applyAlignment="1">
      <alignment horizontal="center"/>
    </xf>
    <xf numFmtId="164" fontId="8" fillId="0" borderId="2" xfId="5" applyFont="1" applyBorder="1"/>
    <xf numFmtId="164" fontId="8" fillId="0" borderId="3" xfId="5" applyFont="1" applyBorder="1"/>
    <xf numFmtId="166" fontId="9" fillId="0" borderId="10" xfId="1" applyNumberFormat="1" applyFont="1" applyFill="1" applyBorder="1" applyAlignment="1">
      <alignment horizontal="center" vertical="top"/>
    </xf>
    <xf numFmtId="164" fontId="9" fillId="0" borderId="10" xfId="1" applyFont="1" applyFill="1" applyBorder="1" applyAlignment="1">
      <alignment horizontal="center" vertical="top"/>
    </xf>
    <xf numFmtId="0" fontId="8"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8" xfId="0" applyFont="1" applyBorder="1" applyAlignment="1">
      <alignment horizontal="left" vertical="top" wrapText="1"/>
    </xf>
    <xf numFmtId="166" fontId="6" fillId="0" borderId="7" xfId="5" applyNumberFormat="1" applyFont="1" applyFill="1" applyBorder="1" applyAlignment="1">
      <alignment horizontal="center" vertical="top" wrapText="1"/>
    </xf>
    <xf numFmtId="164" fontId="9" fillId="0" borderId="10" xfId="5" applyFont="1" applyFill="1" applyBorder="1" applyAlignment="1">
      <alignment horizontal="center" vertical="top"/>
    </xf>
    <xf numFmtId="164" fontId="8" fillId="0" borderId="7" xfId="5" applyFont="1" applyFill="1" applyBorder="1" applyAlignment="1">
      <alignment horizontal="center" vertical="top"/>
    </xf>
    <xf numFmtId="0" fontId="8" fillId="0" borderId="8" xfId="0" applyFont="1" applyBorder="1" applyAlignment="1">
      <alignment horizontal="left" vertical="top"/>
    </xf>
    <xf numFmtId="0" fontId="4" fillId="0" borderId="0" xfId="0" applyFont="1" applyAlignment="1">
      <alignment horizontal="right"/>
    </xf>
    <xf numFmtId="0" fontId="6" fillId="0" borderId="8" xfId="0" applyFont="1" applyBorder="1" applyAlignment="1">
      <alignment horizontal="left" vertical="center"/>
    </xf>
    <xf numFmtId="0" fontId="6" fillId="0" borderId="0" xfId="0" applyFont="1" applyAlignment="1">
      <alignment horizontal="left" vertical="center"/>
    </xf>
    <xf numFmtId="165" fontId="8" fillId="0" borderId="8" xfId="0" applyNumberFormat="1" applyFont="1" applyBorder="1" applyAlignment="1">
      <alignment horizontal="left" vertical="center"/>
    </xf>
    <xf numFmtId="165" fontId="8" fillId="0" borderId="0" xfId="0" applyNumberFormat="1" applyFont="1" applyAlignment="1">
      <alignment horizontal="left" vertical="center"/>
    </xf>
    <xf numFmtId="166" fontId="6" fillId="0" borderId="10" xfId="5" applyNumberFormat="1" applyFont="1" applyFill="1" applyBorder="1" applyAlignment="1">
      <alignment horizontal="center" vertical="top" wrapText="1"/>
    </xf>
    <xf numFmtId="0" fontId="8" fillId="0" borderId="8" xfId="0" applyFont="1" applyBorder="1" applyAlignment="1">
      <alignment horizontal="left" vertical="center"/>
    </xf>
    <xf numFmtId="0" fontId="8" fillId="0" borderId="0" xfId="0" applyFont="1" applyAlignment="1">
      <alignment horizontal="left" vertical="center"/>
    </xf>
    <xf numFmtId="165" fontId="8" fillId="0" borderId="8" xfId="0" applyNumberFormat="1" applyFont="1" applyBorder="1" applyAlignment="1">
      <alignment horizontal="center" vertical="center"/>
    </xf>
    <xf numFmtId="165" fontId="8" fillId="0" borderId="0" xfId="0" applyNumberFormat="1" applyFont="1" applyAlignment="1">
      <alignment horizontal="center" vertical="center"/>
    </xf>
    <xf numFmtId="166" fontId="6" fillId="0" borderId="10" xfId="1" applyNumberFormat="1" applyFont="1" applyFill="1" applyBorder="1" applyAlignment="1">
      <alignment horizontal="center" vertical="top" wrapText="1"/>
    </xf>
    <xf numFmtId="0" fontId="6" fillId="0" borderId="0" xfId="0" applyFont="1" applyAlignment="1">
      <alignment vertical="top" wrapText="1"/>
    </xf>
    <xf numFmtId="166" fontId="9" fillId="0" borderId="10" xfId="1" applyNumberFormat="1" applyFont="1" applyFill="1" applyBorder="1" applyAlignment="1">
      <alignment horizontal="center" vertical="top" wrapText="1"/>
    </xf>
    <xf numFmtId="164" fontId="9" fillId="0" borderId="10" xfId="1" applyFont="1" applyFill="1" applyBorder="1" applyAlignment="1">
      <alignment horizontal="center" vertical="top" wrapText="1"/>
    </xf>
    <xf numFmtId="164" fontId="8" fillId="0" borderId="7" xfId="1" applyFont="1" applyFill="1" applyBorder="1" applyAlignment="1">
      <alignment horizontal="center" vertical="top" wrapText="1"/>
    </xf>
    <xf numFmtId="0" fontId="13" fillId="0" borderId="8" xfId="0" applyFont="1" applyBorder="1" applyAlignment="1">
      <alignment horizontal="left" vertical="top" wrapText="1"/>
    </xf>
    <xf numFmtId="0" fontId="5" fillId="0" borderId="0" xfId="0" quotePrefix="1" applyFont="1" applyAlignment="1">
      <alignment wrapText="1"/>
    </xf>
    <xf numFmtId="0" fontId="14" fillId="0" borderId="0" xfId="0" applyFont="1"/>
    <xf numFmtId="164" fontId="9" fillId="0" borderId="5" xfId="1" applyFont="1" applyFill="1" applyBorder="1" applyAlignment="1">
      <alignment horizontal="center" vertical="top" wrapText="1"/>
    </xf>
    <xf numFmtId="0" fontId="9" fillId="0" borderId="8" xfId="0" applyFont="1" applyBorder="1" applyAlignment="1">
      <alignment horizontal="left" vertical="top"/>
    </xf>
    <xf numFmtId="2" fontId="3" fillId="0" borderId="0" xfId="0" applyNumberFormat="1" applyFont="1"/>
    <xf numFmtId="2" fontId="0" fillId="0" borderId="0" xfId="0" applyNumberFormat="1"/>
    <xf numFmtId="165" fontId="9" fillId="0" borderId="8" xfId="0" applyNumberFormat="1" applyFont="1" applyBorder="1" applyAlignment="1">
      <alignment horizontal="left" vertical="center"/>
    </xf>
    <xf numFmtId="43" fontId="6" fillId="0" borderId="1" xfId="0" applyNumberFormat="1" applyFont="1" applyBorder="1" applyAlignment="1">
      <alignment horizontal="center" vertical="top"/>
    </xf>
    <xf numFmtId="164" fontId="9" fillId="0" borderId="8" xfId="1" applyFont="1" applyFill="1" applyBorder="1" applyAlignment="1">
      <alignment horizontal="center" vertical="center" wrapText="1"/>
    </xf>
    <xf numFmtId="0" fontId="4" fillId="0" borderId="3" xfId="0" applyFont="1" applyBorder="1" applyAlignment="1">
      <alignment horizontal="center" wrapText="1"/>
    </xf>
    <xf numFmtId="0" fontId="8" fillId="0" borderId="0" xfId="0" applyFont="1" applyAlignment="1">
      <alignment wrapText="1"/>
    </xf>
    <xf numFmtId="0" fontId="4" fillId="0" borderId="8" xfId="0" applyFont="1" applyBorder="1"/>
    <xf numFmtId="0" fontId="4" fillId="0" borderId="0" xfId="0" applyFont="1" applyAlignment="1">
      <alignment wrapText="1"/>
    </xf>
    <xf numFmtId="0" fontId="4" fillId="0" borderId="7" xfId="0" applyFont="1" applyBorder="1"/>
    <xf numFmtId="0" fontId="16" fillId="0" borderId="0" xfId="0" applyFont="1"/>
    <xf numFmtId="0" fontId="16" fillId="0" borderId="0" xfId="0" applyFont="1" applyAlignment="1">
      <alignment wrapText="1"/>
    </xf>
    <xf numFmtId="0" fontId="4" fillId="3" borderId="0" xfId="0" applyFont="1" applyFill="1"/>
    <xf numFmtId="0" fontId="5" fillId="3" borderId="0" xfId="0" applyFont="1" applyFill="1"/>
    <xf numFmtId="4" fontId="4" fillId="3" borderId="7" xfId="0" applyNumberFormat="1" applyFont="1" applyFill="1" applyBorder="1"/>
    <xf numFmtId="0" fontId="4" fillId="3" borderId="7" xfId="0" applyFont="1" applyFill="1" applyBorder="1"/>
    <xf numFmtId="0" fontId="5" fillId="3" borderId="7" xfId="0" applyFont="1" applyFill="1" applyBorder="1"/>
    <xf numFmtId="0" fontId="4" fillId="3" borderId="7" xfId="0" applyFont="1" applyFill="1" applyBorder="1" applyAlignment="1">
      <alignment horizontal="center"/>
    </xf>
    <xf numFmtId="0" fontId="16" fillId="0" borderId="16" xfId="0" applyFont="1" applyBorder="1"/>
    <xf numFmtId="0" fontId="16" fillId="0" borderId="16" xfId="0" applyFont="1" applyBorder="1" applyAlignment="1">
      <alignment wrapText="1"/>
    </xf>
    <xf numFmtId="0" fontId="15" fillId="0" borderId="16" xfId="0" applyFont="1" applyBorder="1"/>
    <xf numFmtId="0" fontId="16" fillId="0" borderId="12" xfId="0" applyFont="1" applyBorder="1"/>
    <xf numFmtId="0" fontId="16" fillId="0" borderId="12" xfId="0" applyFont="1" applyBorder="1" applyAlignment="1">
      <alignment wrapText="1"/>
    </xf>
    <xf numFmtId="164" fontId="16" fillId="0" borderId="12" xfId="1" applyFont="1" applyBorder="1" applyAlignment="1"/>
    <xf numFmtId="43" fontId="16" fillId="0" borderId="12" xfId="1" applyNumberFormat="1" applyFont="1" applyBorder="1" applyAlignment="1"/>
    <xf numFmtId="164" fontId="16" fillId="0" borderId="0" xfId="1" applyFont="1" applyAlignment="1"/>
    <xf numFmtId="168" fontId="16" fillId="0" borderId="12" xfId="1" applyNumberFormat="1" applyFont="1" applyBorder="1" applyAlignment="1"/>
    <xf numFmtId="164" fontId="16" fillId="0" borderId="16" xfId="1" applyFont="1" applyBorder="1" applyAlignment="1"/>
    <xf numFmtId="0" fontId="0" fillId="0" borderId="0" xfId="0" applyAlignment="1">
      <alignment wrapText="1"/>
    </xf>
    <xf numFmtId="0" fontId="15" fillId="0" borderId="12" xfId="0" applyFont="1" applyBorder="1" applyAlignment="1">
      <alignment horizontal="center"/>
    </xf>
    <xf numFmtId="0" fontId="18" fillId="0" borderId="0" xfId="0" applyFont="1" applyAlignment="1">
      <alignment horizontal="left"/>
    </xf>
    <xf numFmtId="0" fontId="18" fillId="0" borderId="0" xfId="0" applyFont="1" applyAlignment="1">
      <alignment horizontal="left" vertical="center"/>
    </xf>
    <xf numFmtId="0" fontId="17" fillId="0" borderId="0" xfId="0" applyFont="1" applyAlignment="1">
      <alignment horizontal="left" vertical="center"/>
    </xf>
    <xf numFmtId="0" fontId="20" fillId="0" borderId="0" xfId="0" applyFont="1" applyAlignment="1">
      <alignment horizontal="left" vertical="center"/>
    </xf>
    <xf numFmtId="0" fontId="20" fillId="0" borderId="0" xfId="0" applyFont="1" applyAlignment="1">
      <alignment horizontal="left"/>
    </xf>
    <xf numFmtId="0" fontId="21" fillId="0" borderId="0" xfId="0" applyFont="1"/>
    <xf numFmtId="0" fontId="17" fillId="0" borderId="0" xfId="0" applyFont="1" applyAlignment="1">
      <alignment vertical="top"/>
    </xf>
    <xf numFmtId="0" fontId="17" fillId="0" borderId="0" xfId="0" applyFont="1" applyAlignment="1">
      <alignment horizontal="left" vertical="top"/>
    </xf>
    <xf numFmtId="0" fontId="18" fillId="0" borderId="0" xfId="0" applyFont="1" applyAlignment="1">
      <alignment horizontal="left" vertical="top"/>
    </xf>
    <xf numFmtId="0" fontId="18" fillId="0" borderId="0" xfId="0" applyFont="1" applyAlignment="1">
      <alignment horizontal="left" vertical="top" wrapText="1"/>
    </xf>
    <xf numFmtId="0" fontId="20" fillId="0" borderId="0" xfId="0" applyFont="1" applyAlignment="1">
      <alignment horizontal="left" vertical="top" wrapText="1"/>
    </xf>
    <xf numFmtId="0" fontId="20" fillId="0" borderId="0" xfId="0" applyFont="1" applyAlignment="1">
      <alignment horizontal="left" vertical="top"/>
    </xf>
    <xf numFmtId="0" fontId="18" fillId="0" borderId="0" xfId="0" quotePrefix="1" applyFont="1" applyAlignment="1">
      <alignment horizontal="left" vertical="center"/>
    </xf>
    <xf numFmtId="0" fontId="20" fillId="0" borderId="7" xfId="0" applyFont="1" applyBorder="1" applyAlignment="1">
      <alignment horizontal="left" vertical="center" wrapText="1"/>
    </xf>
    <xf numFmtId="0" fontId="18" fillId="0" borderId="7" xfId="0" applyFont="1" applyBorder="1" applyAlignment="1">
      <alignment horizontal="left" vertical="center" wrapText="1"/>
    </xf>
    <xf numFmtId="0" fontId="20" fillId="0" borderId="7" xfId="0" applyFont="1" applyBorder="1" applyAlignment="1">
      <alignment vertical="center" wrapText="1"/>
    </xf>
    <xf numFmtId="43" fontId="18" fillId="0" borderId="7" xfId="7" applyFont="1" applyBorder="1" applyAlignment="1">
      <alignment horizontal="left" vertical="center" wrapText="1"/>
    </xf>
    <xf numFmtId="43" fontId="20" fillId="0" borderId="7" xfId="7" applyFont="1" applyBorder="1" applyAlignment="1">
      <alignment vertical="center" wrapText="1"/>
    </xf>
    <xf numFmtId="0" fontId="20" fillId="0" borderId="0" xfId="0" applyFont="1" applyAlignment="1">
      <alignment horizontal="left" vertical="center" indent="15"/>
    </xf>
    <xf numFmtId="0" fontId="18" fillId="0" borderId="7" xfId="0" applyFont="1" applyBorder="1" applyAlignment="1">
      <alignment horizontal="left" vertical="top" wrapText="1"/>
    </xf>
    <xf numFmtId="0" fontId="20" fillId="0" borderId="7" xfId="0" applyFont="1" applyBorder="1" applyAlignment="1">
      <alignment horizontal="left" vertical="top" wrapText="1"/>
    </xf>
    <xf numFmtId="0" fontId="25" fillId="0" borderId="7" xfId="4" applyFont="1" applyBorder="1" applyAlignment="1">
      <alignment vertical="center"/>
    </xf>
    <xf numFmtId="166" fontId="25" fillId="0" borderId="7" xfId="8" applyNumberFormat="1" applyFont="1" applyFill="1" applyBorder="1" applyAlignment="1">
      <alignment horizontal="center" vertical="center" wrapText="1"/>
    </xf>
    <xf numFmtId="0" fontId="25" fillId="0" borderId="10" xfId="4" applyFont="1" applyBorder="1" applyAlignment="1">
      <alignment horizontal="center" wrapText="1"/>
    </xf>
    <xf numFmtId="0" fontId="25" fillId="0" borderId="0" xfId="4" applyFont="1" applyAlignment="1">
      <alignment wrapText="1"/>
    </xf>
    <xf numFmtId="166" fontId="26" fillId="0" borderId="10" xfId="8" applyNumberFormat="1" applyFont="1" applyFill="1" applyBorder="1" applyAlignment="1">
      <alignment horizontal="right" wrapText="1"/>
    </xf>
    <xf numFmtId="166" fontId="26" fillId="0" borderId="10" xfId="8" applyNumberFormat="1" applyFont="1" applyFill="1" applyBorder="1" applyAlignment="1">
      <alignment wrapText="1"/>
    </xf>
    <xf numFmtId="0" fontId="26" fillId="0" borderId="10" xfId="4" applyFont="1" applyBorder="1" applyAlignment="1">
      <alignment horizontal="center" wrapText="1"/>
    </xf>
    <xf numFmtId="0" fontId="26" fillId="0" borderId="0" xfId="4" applyFont="1" applyAlignment="1">
      <alignment wrapText="1"/>
    </xf>
    <xf numFmtId="164" fontId="26" fillId="0" borderId="10" xfId="8" applyFont="1" applyFill="1" applyBorder="1" applyAlignment="1">
      <alignment wrapText="1"/>
    </xf>
    <xf numFmtId="0" fontId="26" fillId="0" borderId="0" xfId="4" applyFont="1" applyAlignment="1">
      <alignment horizontal="left" wrapText="1"/>
    </xf>
    <xf numFmtId="164" fontId="26" fillId="0" borderId="10" xfId="8" applyFont="1" applyFill="1" applyBorder="1" applyAlignment="1">
      <alignment horizontal="right" wrapText="1"/>
    </xf>
    <xf numFmtId="164" fontId="25" fillId="0" borderId="10" xfId="8" applyFont="1" applyFill="1" applyBorder="1" applyAlignment="1">
      <alignment wrapText="1"/>
    </xf>
    <xf numFmtId="164" fontId="25" fillId="0" borderId="10" xfId="8" applyFont="1" applyFill="1" applyBorder="1" applyAlignment="1">
      <alignment horizontal="right" wrapText="1"/>
    </xf>
    <xf numFmtId="0" fontId="0" fillId="0" borderId="10" xfId="0" applyBorder="1" applyAlignment="1">
      <alignment wrapText="1"/>
    </xf>
    <xf numFmtId="0" fontId="0" fillId="0" borderId="10" xfId="0" applyBorder="1"/>
    <xf numFmtId="0" fontId="25" fillId="0" borderId="0" xfId="4" applyFont="1" applyAlignment="1">
      <alignment horizontal="center" wrapText="1"/>
    </xf>
    <xf numFmtId="0" fontId="27" fillId="0" borderId="0" xfId="4" applyFont="1" applyAlignment="1">
      <alignment vertical="top" wrapText="1"/>
    </xf>
    <xf numFmtId="0" fontId="25" fillId="0" borderId="10" xfId="4" applyFont="1" applyBorder="1" applyAlignment="1">
      <alignment horizontal="left" wrapText="1"/>
    </xf>
    <xf numFmtId="0" fontId="26" fillId="0" borderId="0" xfId="4" applyFont="1" applyAlignment="1">
      <alignment vertical="top" wrapText="1"/>
    </xf>
    <xf numFmtId="0" fontId="27" fillId="0" borderId="0" xfId="4" applyFont="1" applyAlignment="1">
      <alignment horizontal="left" wrapText="1"/>
    </xf>
    <xf numFmtId="0" fontId="25" fillId="0" borderId="15" xfId="4" applyFont="1" applyBorder="1" applyAlignment="1">
      <alignment horizontal="left" wrapText="1"/>
    </xf>
    <xf numFmtId="0" fontId="25" fillId="0" borderId="2" xfId="4" applyFont="1" applyBorder="1" applyAlignment="1">
      <alignment horizontal="left" wrapText="1"/>
    </xf>
    <xf numFmtId="164" fontId="25" fillId="0" borderId="7" xfId="8" applyFont="1" applyFill="1" applyBorder="1" applyAlignment="1">
      <alignment horizontal="left" wrapText="1"/>
    </xf>
    <xf numFmtId="0" fontId="25" fillId="0" borderId="0" xfId="4" applyFont="1" applyAlignment="1">
      <alignment horizontal="left" wrapText="1"/>
    </xf>
    <xf numFmtId="166" fontId="25" fillId="0" borderId="0" xfId="8" applyNumberFormat="1" applyFont="1" applyFill="1" applyBorder="1" applyAlignment="1">
      <alignment horizontal="left" wrapText="1"/>
    </xf>
    <xf numFmtId="0" fontId="26" fillId="0" borderId="0" xfId="4" applyFont="1" applyAlignment="1">
      <alignment horizontal="center" wrapText="1"/>
    </xf>
    <xf numFmtId="0" fontId="26" fillId="0" borderId="0" xfId="0" applyFont="1" applyAlignment="1">
      <alignment vertical="center"/>
    </xf>
    <xf numFmtId="0" fontId="26" fillId="0" borderId="0" xfId="0" applyFont="1" applyAlignment="1">
      <alignment vertical="center" wrapText="1"/>
    </xf>
    <xf numFmtId="0" fontId="24" fillId="0" borderId="0" xfId="0" applyFont="1"/>
    <xf numFmtId="0" fontId="24" fillId="0" borderId="0" xfId="0" applyFont="1" applyAlignment="1"/>
    <xf numFmtId="166" fontId="28" fillId="0" borderId="7" xfId="8" applyNumberFormat="1" applyFont="1" applyFill="1" applyBorder="1" applyAlignment="1">
      <alignment horizontal="center" vertical="top" wrapText="1"/>
    </xf>
    <xf numFmtId="0" fontId="9" fillId="0" borderId="0" xfId="0" applyFont="1" applyAlignment="1">
      <alignment horizontal="left" vertical="top"/>
    </xf>
    <xf numFmtId="166" fontId="9" fillId="0" borderId="10" xfId="8" applyNumberFormat="1" applyFont="1" applyFill="1" applyBorder="1" applyAlignment="1">
      <alignment horizontal="center" vertical="top"/>
    </xf>
    <xf numFmtId="164" fontId="9" fillId="0" borderId="10" xfId="8" applyFont="1" applyFill="1" applyBorder="1" applyAlignment="1">
      <alignment horizontal="center" vertical="top"/>
    </xf>
    <xf numFmtId="0" fontId="9" fillId="0" borderId="8" xfId="0" quotePrefix="1" applyFont="1" applyBorder="1" applyAlignment="1">
      <alignment horizontal="left" vertical="top"/>
    </xf>
    <xf numFmtId="0" fontId="8" fillId="0" borderId="0" xfId="0" applyFont="1" applyAlignment="1">
      <alignment horizontal="left" vertical="top"/>
    </xf>
    <xf numFmtId="164" fontId="8" fillId="0" borderId="10" xfId="8" applyFont="1" applyFill="1" applyBorder="1" applyAlignment="1">
      <alignment horizontal="center" vertical="top"/>
    </xf>
    <xf numFmtId="14" fontId="9" fillId="0" borderId="0" xfId="0" applyNumberFormat="1" applyFont="1" applyAlignment="1">
      <alignment horizontal="left" vertical="top"/>
    </xf>
    <xf numFmtId="0" fontId="9" fillId="0" borderId="0" xfId="0" quotePrefix="1" applyFont="1" applyAlignment="1">
      <alignment horizontal="left" vertical="top"/>
    </xf>
    <xf numFmtId="16" fontId="9" fillId="0" borderId="0" xfId="0" quotePrefix="1" applyNumberFormat="1" applyFont="1" applyAlignment="1">
      <alignment horizontal="left" vertical="top"/>
    </xf>
    <xf numFmtId="0" fontId="8" fillId="0" borderId="11" xfId="0" applyFont="1" applyBorder="1" applyAlignment="1">
      <alignment horizontal="left" vertical="top"/>
    </xf>
    <xf numFmtId="16" fontId="9" fillId="0" borderId="12" xfId="0" quotePrefix="1" applyNumberFormat="1" applyFont="1" applyBorder="1" applyAlignment="1">
      <alignment horizontal="left" vertical="top"/>
    </xf>
    <xf numFmtId="0" fontId="9" fillId="0" borderId="12" xfId="0" applyFont="1" applyBorder="1" applyAlignment="1">
      <alignment horizontal="left" vertical="top"/>
    </xf>
    <xf numFmtId="164" fontId="8" fillId="0" borderId="15" xfId="8" applyFont="1" applyFill="1" applyBorder="1" applyAlignment="1">
      <alignment horizontal="center" vertical="top"/>
    </xf>
    <xf numFmtId="0" fontId="5" fillId="0" borderId="0" xfId="0" applyFont="1" applyAlignment="1">
      <alignment horizontal="left"/>
    </xf>
    <xf numFmtId="0" fontId="4" fillId="0" borderId="0" xfId="0" applyFont="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0" fontId="12" fillId="0" borderId="0" xfId="0" applyFont="1" applyAlignment="1">
      <alignment horizontal="center"/>
    </xf>
    <xf numFmtId="0" fontId="5" fillId="0" borderId="0" xfId="0" applyFont="1" applyAlignment="1">
      <alignment horizontal="center"/>
    </xf>
    <xf numFmtId="0" fontId="4" fillId="0" borderId="0" xfId="0" applyFont="1" applyAlignment="1">
      <alignment horizontal="center"/>
    </xf>
    <xf numFmtId="0" fontId="4" fillId="0" borderId="12" xfId="0" applyFont="1" applyBorder="1" applyAlignment="1">
      <alignment horizontal="right"/>
    </xf>
    <xf numFmtId="0" fontId="24" fillId="0" borderId="0" xfId="0" applyFont="1" applyAlignment="1">
      <alignment horizontal="left"/>
    </xf>
    <xf numFmtId="0" fontId="24" fillId="0" borderId="0" xfId="0" applyFont="1" applyAlignment="1">
      <alignment horizontal="center"/>
    </xf>
    <xf numFmtId="0" fontId="25" fillId="4" borderId="0" xfId="4" applyFont="1" applyFill="1" applyAlignment="1">
      <alignment horizontal="right" wrapText="1"/>
    </xf>
    <xf numFmtId="0" fontId="25" fillId="0" borderId="2" xfId="4" applyFont="1" applyBorder="1" applyAlignment="1">
      <alignment horizontal="center" vertical="center" wrapText="1"/>
    </xf>
    <xf numFmtId="0" fontId="25" fillId="0" borderId="3" xfId="4" applyFont="1" applyBorder="1" applyAlignment="1">
      <alignment horizontal="center" vertical="center" wrapText="1"/>
    </xf>
    <xf numFmtId="0" fontId="26" fillId="0" borderId="0" xfId="4" applyFont="1" applyAlignment="1">
      <alignment horizontal="left" wrapText="1"/>
    </xf>
    <xf numFmtId="0" fontId="4" fillId="3" borderId="6" xfId="0" applyFont="1" applyFill="1" applyBorder="1" applyAlignment="1">
      <alignment horizontal="center" vertical="center"/>
    </xf>
    <xf numFmtId="0" fontId="4" fillId="3" borderId="14" xfId="0" applyFont="1" applyFill="1" applyBorder="1" applyAlignment="1">
      <alignment horizontal="center" vertical="center"/>
    </xf>
    <xf numFmtId="0" fontId="6" fillId="0" borderId="1" xfId="0" applyFont="1" applyBorder="1" applyAlignment="1">
      <alignment horizontal="left" vertical="center"/>
    </xf>
    <xf numFmtId="0" fontId="6" fillId="0" borderId="2" xfId="0" applyFont="1" applyBorder="1" applyAlignment="1">
      <alignment horizontal="left" vertical="center"/>
    </xf>
    <xf numFmtId="0" fontId="8" fillId="0" borderId="1" xfId="0" applyFont="1" applyBorder="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8" fillId="2" borderId="1" xfId="0" applyFont="1" applyFill="1" applyBorder="1" applyAlignment="1">
      <alignment horizontal="left"/>
    </xf>
    <xf numFmtId="0" fontId="8" fillId="2" borderId="2" xfId="0" applyFont="1" applyFill="1" applyBorder="1" applyAlignment="1">
      <alignment horizontal="left"/>
    </xf>
    <xf numFmtId="0" fontId="8" fillId="2" borderId="3" xfId="0" applyFont="1" applyFill="1" applyBorder="1" applyAlignment="1">
      <alignment horizontal="left"/>
    </xf>
    <xf numFmtId="165" fontId="8" fillId="0" borderId="1" xfId="0" applyNumberFormat="1" applyFont="1" applyBorder="1" applyAlignment="1">
      <alignment horizontal="left" vertical="center"/>
    </xf>
    <xf numFmtId="165" fontId="8" fillId="0" borderId="2" xfId="0" applyNumberFormat="1" applyFont="1" applyBorder="1" applyAlignment="1">
      <alignment horizontal="left" vertical="center"/>
    </xf>
    <xf numFmtId="165" fontId="8" fillId="0" borderId="3" xfId="0" applyNumberFormat="1" applyFont="1" applyBorder="1" applyAlignment="1">
      <alignment horizontal="left" vertical="center"/>
    </xf>
    <xf numFmtId="0" fontId="4" fillId="3" borderId="7" xfId="0" applyFont="1" applyFill="1" applyBorder="1" applyAlignment="1">
      <alignment horizontal="left"/>
    </xf>
    <xf numFmtId="0" fontId="4" fillId="3" borderId="1" xfId="0" applyFont="1" applyFill="1" applyBorder="1" applyAlignment="1">
      <alignment horizontal="center"/>
    </xf>
    <xf numFmtId="0" fontId="4" fillId="3" borderId="2" xfId="0" applyFont="1" applyFill="1" applyBorder="1" applyAlignment="1">
      <alignment horizontal="center"/>
    </xf>
    <xf numFmtId="166" fontId="8" fillId="0" borderId="7" xfId="1" applyNumberFormat="1" applyFont="1" applyFill="1" applyBorder="1" applyAlignment="1">
      <alignment horizontal="center" vertical="top" wrapText="1"/>
    </xf>
    <xf numFmtId="165" fontId="8" fillId="0" borderId="7" xfId="0" applyNumberFormat="1" applyFont="1" applyBorder="1" applyAlignment="1">
      <alignment horizontal="left" vertical="center"/>
    </xf>
    <xf numFmtId="0" fontId="5" fillId="0" borderId="0" xfId="0" applyFont="1" applyAlignment="1">
      <alignment horizontal="left" vertical="top" wrapText="1"/>
    </xf>
    <xf numFmtId="0" fontId="8" fillId="0" borderId="7" xfId="0" applyFont="1" applyBorder="1" applyAlignment="1">
      <alignment horizontal="left" vertical="center"/>
    </xf>
    <xf numFmtId="0" fontId="4" fillId="3" borderId="3" xfId="0" applyFont="1" applyFill="1" applyBorder="1" applyAlignment="1">
      <alignment horizontal="center"/>
    </xf>
    <xf numFmtId="0" fontId="5" fillId="3" borderId="1"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4" fillId="0" borderId="0" xfId="0" applyFont="1" applyAlignment="1">
      <alignment horizontal="right"/>
    </xf>
    <xf numFmtId="165" fontId="8" fillId="0" borderId="1" xfId="0" applyNumberFormat="1" applyFont="1" applyBorder="1" applyAlignment="1">
      <alignment horizontal="center" vertical="center"/>
    </xf>
    <xf numFmtId="165" fontId="8" fillId="0" borderId="2" xfId="0" applyNumberFormat="1" applyFont="1" applyBorder="1" applyAlignment="1">
      <alignment horizontal="center" vertical="center"/>
    </xf>
    <xf numFmtId="165" fontId="8" fillId="0" borderId="3" xfId="0" applyNumberFormat="1" applyFont="1" applyBorder="1" applyAlignment="1">
      <alignment horizontal="center" vertical="center"/>
    </xf>
    <xf numFmtId="0" fontId="6" fillId="0" borderId="0" xfId="0" applyFont="1" applyAlignment="1">
      <alignment horizontal="left" vertical="top"/>
    </xf>
    <xf numFmtId="0" fontId="8" fillId="0" borderId="5" xfId="0" applyFont="1" applyBorder="1" applyAlignment="1">
      <alignment horizontal="center" vertical="center"/>
    </xf>
    <xf numFmtId="0" fontId="8" fillId="0" borderId="15" xfId="0" applyFont="1" applyBorder="1" applyAlignment="1">
      <alignment horizontal="center" vertical="center"/>
    </xf>
    <xf numFmtId="0" fontId="4" fillId="0" borderId="5" xfId="0" applyFont="1" applyBorder="1" applyAlignment="1">
      <alignment horizontal="center" vertical="center"/>
    </xf>
    <xf numFmtId="0" fontId="4" fillId="0" borderId="15" xfId="0" applyFont="1" applyBorder="1" applyAlignment="1">
      <alignment horizontal="center" vertical="center"/>
    </xf>
    <xf numFmtId="166" fontId="8" fillId="0" borderId="3" xfId="1" applyNumberFormat="1" applyFont="1" applyFill="1" applyBorder="1" applyAlignment="1">
      <alignment horizontal="center" vertical="top" wrapText="1"/>
    </xf>
    <xf numFmtId="0" fontId="4" fillId="0" borderId="7" xfId="0" applyFont="1" applyBorder="1" applyAlignment="1">
      <alignment horizontal="left"/>
    </xf>
    <xf numFmtId="0" fontId="4" fillId="0" borderId="7" xfId="0" applyFont="1" applyBorder="1" applyAlignment="1">
      <alignment horizontal="center"/>
    </xf>
    <xf numFmtId="0" fontId="4" fillId="0" borderId="4" xfId="0" applyFont="1" applyBorder="1" applyAlignment="1">
      <alignment horizontal="center" wrapText="1"/>
    </xf>
    <xf numFmtId="0" fontId="4" fillId="0" borderId="6" xfId="0" applyFont="1" applyBorder="1" applyAlignment="1">
      <alignment horizontal="center" wrapText="1"/>
    </xf>
    <xf numFmtId="0" fontId="4" fillId="0" borderId="11" xfId="0" applyFont="1" applyBorder="1" applyAlignment="1">
      <alignment horizontal="center" wrapText="1"/>
    </xf>
    <xf numFmtId="0" fontId="4" fillId="0" borderId="14" xfId="0" applyFont="1" applyBorder="1" applyAlignment="1">
      <alignment horizontal="center" wrapText="1"/>
    </xf>
    <xf numFmtId="0" fontId="8" fillId="0" borderId="0" xfId="0" applyFont="1" applyAlignment="1">
      <alignment horizontal="left"/>
    </xf>
    <xf numFmtId="0" fontId="8" fillId="0" borderId="12" xfId="0" applyFont="1" applyBorder="1" applyAlignment="1">
      <alignment horizontal="right"/>
    </xf>
    <xf numFmtId="0" fontId="8" fillId="0" borderId="7" xfId="0" applyFont="1" applyBorder="1" applyAlignment="1">
      <alignment horizontal="center" wrapText="1"/>
    </xf>
    <xf numFmtId="0" fontId="8" fillId="0" borderId="7" xfId="0" applyFont="1" applyBorder="1" applyAlignment="1">
      <alignment horizontal="center" vertical="center"/>
    </xf>
    <xf numFmtId="0" fontId="8" fillId="0" borderId="7" xfId="0" applyFont="1" applyBorder="1" applyAlignment="1">
      <alignment horizontal="center"/>
    </xf>
    <xf numFmtId="0" fontId="4" fillId="0" borderId="6" xfId="0" applyFont="1" applyBorder="1" applyAlignment="1">
      <alignment horizontal="center"/>
    </xf>
    <xf numFmtId="0" fontId="4" fillId="0" borderId="14" xfId="0" applyFont="1" applyBorder="1" applyAlignment="1">
      <alignment horizontal="center"/>
    </xf>
    <xf numFmtId="0" fontId="6" fillId="0" borderId="3" xfId="0" applyFont="1" applyBorder="1" applyAlignment="1">
      <alignment horizontal="left" vertical="center"/>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15" fillId="0" borderId="0" xfId="0" applyFont="1" applyAlignment="1">
      <alignment horizontal="center"/>
    </xf>
    <xf numFmtId="0" fontId="15" fillId="0" borderId="17" xfId="0" applyFont="1" applyBorder="1" applyAlignment="1">
      <alignment horizontal="center"/>
    </xf>
    <xf numFmtId="0" fontId="15" fillId="0" borderId="12" xfId="0" applyFont="1" applyBorder="1" applyAlignment="1">
      <alignment horizontal="center"/>
    </xf>
    <xf numFmtId="0" fontId="15" fillId="0" borderId="17" xfId="0" applyFont="1" applyBorder="1" applyAlignment="1">
      <alignment horizontal="center" wrapText="1"/>
    </xf>
    <xf numFmtId="0" fontId="15" fillId="0" borderId="12" xfId="0" applyFont="1" applyBorder="1" applyAlignment="1">
      <alignment horizontal="center" wrapText="1"/>
    </xf>
    <xf numFmtId="0" fontId="15" fillId="0" borderId="17" xfId="0" applyFont="1" applyBorder="1" applyAlignment="1">
      <alignment horizontal="center" vertical="top" wrapText="1"/>
    </xf>
    <xf numFmtId="0" fontId="18" fillId="0" borderId="0" xfId="0" applyFont="1" applyAlignment="1">
      <alignment horizontal="left" vertical="top" wrapText="1"/>
    </xf>
    <xf numFmtId="0" fontId="17" fillId="0" borderId="0" xfId="0" applyFont="1" applyAlignment="1">
      <alignment horizontal="center" vertical="center"/>
    </xf>
    <xf numFmtId="0" fontId="18" fillId="0" borderId="0" xfId="0" applyFont="1" applyAlignment="1">
      <alignment horizontal="left" vertical="center" wrapText="1"/>
    </xf>
    <xf numFmtId="0" fontId="20" fillId="0" borderId="0" xfId="0" applyFont="1" applyAlignment="1">
      <alignment horizontal="left" vertical="top" wrapText="1"/>
    </xf>
    <xf numFmtId="0" fontId="18" fillId="0" borderId="0" xfId="0" applyFont="1" applyAlignment="1">
      <alignment horizontal="left" vertical="top"/>
    </xf>
    <xf numFmtId="0" fontId="20" fillId="0" borderId="0" xfId="0" applyFont="1" applyAlignment="1">
      <alignment horizontal="left" vertical="top"/>
    </xf>
    <xf numFmtId="0" fontId="20" fillId="0" borderId="0" xfId="0" applyFont="1" applyAlignment="1">
      <alignment horizontal="left" vertical="center" wrapText="1"/>
    </xf>
    <xf numFmtId="0" fontId="22" fillId="0" borderId="0" xfId="0" applyFont="1" applyAlignment="1">
      <alignment horizontal="center" vertical="center"/>
    </xf>
  </cellXfs>
  <cellStyles count="9">
    <cellStyle name="Comma" xfId="1" builtinId="3"/>
    <cellStyle name="Comma 2" xfId="2" xr:uid="{00000000-0005-0000-0000-000001000000}"/>
    <cellStyle name="Comma 2 2" xfId="8" xr:uid="{EE8375BA-014B-41DD-8B0F-4A68C19BD5B5}"/>
    <cellStyle name="Comma 2 3 48" xfId="5" xr:uid="{00000000-0005-0000-0000-000002000000}"/>
    <cellStyle name="Comma 3" xfId="7" xr:uid="{446A81DC-9DEB-4F30-9582-098F387F2B09}"/>
    <cellStyle name="Comma 8" xfId="3" xr:uid="{00000000-0005-0000-0000-000003000000}"/>
    <cellStyle name="Excel Built-in Normal" xfId="6" xr:uid="{00000000-0005-0000-0000-000004000000}"/>
    <cellStyle name="Normal" xfId="0" builtinId="0"/>
    <cellStyle name="Normal 2" xfId="4" xr:uid="{00000000-0005-0000-0000-000006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kumar\V.K.%20DHINGRA%20&amp;%20Co\MAIN%20WORKING\BALANCE%20SHEETS\BAL%202011\OC%20CROCHECTS%202011\Final%20Balance%20Sheet_occorchet%20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lient%20folder/Padialker%20Group/final%20financials%20for%20signing%20with%20updated%20tally%20as%20well/New%20Financials%2014th%20Aug/Abhisarga/ACPL%20bspl%2031.03.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udit%2019-20/Dekson%20Power%20Pvt%20Ltd_Audit%20Applicable/Financials%20along%20with%20Notes%20and%20AR/financials%202019-20/Dekson%20Power%20Pvt%20Ltd%20Financials%20FY%2019-20.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Client%20folder/Padialker%20Group/final%20financials%20for%20signing%20with%20updated%20tally%20as%20well/New%20Financials%2014th%20Aug/Devi%20Bhairavi%20Capital%20Pvt.%20Ltd/Devi%20Bhairavi%20Capital%20Private%20Limited%2031.03.2025.xlsx?6F792F40" TargetMode="External"/><Relationship Id="rId1" Type="http://schemas.openxmlformats.org/officeDocument/2006/relationships/externalLinkPath" Target="file:///\\6F792F40\Devi%20Bhairavi%20Capital%20Private%20Limited%2031.03.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
      <sheetName val="Balance Sheet"/>
      <sheetName val="Imp_Figures"/>
      <sheetName val="Details of BG _ LC"/>
      <sheetName val="Market Value of Investments"/>
      <sheetName val="Prepaid Quota Expenses"/>
      <sheetName val="Depriciation Chart"/>
      <sheetName val="Balancesheet Abstract"/>
      <sheetName val="grouping"/>
      <sheetName val="capital"/>
      <sheetName val="debtor"/>
      <sheetName val="Module1"/>
    </sheetNames>
    <sheetDataSet>
      <sheetData sheetId="0" refreshError="1"/>
      <sheetData sheetId="1">
        <row r="71">
          <cell r="D71">
            <v>-53760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sheetName val="Profit &amp; loss"/>
      <sheetName val="CFS"/>
      <sheetName val="1-2"/>
      <sheetName val="3-15"/>
      <sheetName val="16-26"/>
      <sheetName val="IT Dep"/>
      <sheetName val="TB24-25"/>
      <sheetName val="Ratios"/>
      <sheetName val="PPE 8"/>
      <sheetName val="Deferred Tax Assets"/>
      <sheetName val="AR"/>
    </sheetNames>
    <sheetDataSet>
      <sheetData sheetId="0">
        <row r="15">
          <cell r="D15">
            <v>2825.5901200000003</v>
          </cell>
          <cell r="E15">
            <v>2883.1299999999997</v>
          </cell>
        </row>
        <row r="16">
          <cell r="D16">
            <v>30</v>
          </cell>
          <cell r="E16">
            <v>15</v>
          </cell>
        </row>
        <row r="30">
          <cell r="D30">
            <v>43.170230000000004</v>
          </cell>
          <cell r="E30">
            <v>40.47</v>
          </cell>
        </row>
      </sheetData>
      <sheetData sheetId="1">
        <row r="15">
          <cell r="D15">
            <v>506.625</v>
          </cell>
          <cell r="E15">
            <v>641.16</v>
          </cell>
        </row>
        <row r="24">
          <cell r="D24">
            <v>-571.625</v>
          </cell>
          <cell r="E24">
            <v>-714.32999999999993</v>
          </cell>
        </row>
      </sheetData>
      <sheetData sheetId="2"/>
      <sheetData sheetId="3"/>
      <sheetData sheetId="4">
        <row r="141">
          <cell r="D141">
            <v>26.032169999999997</v>
          </cell>
          <cell r="E141">
            <v>136.27000000000001</v>
          </cell>
        </row>
        <row r="142">
          <cell r="D142">
            <v>214.31661</v>
          </cell>
          <cell r="E142">
            <v>214.32</v>
          </cell>
        </row>
      </sheetData>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 COMPUTATION"/>
      <sheetName val="CFS"/>
      <sheetName val="BS &amp; PL"/>
      <sheetName val="2-9"/>
      <sheetName val="TB 19.12.2020"/>
      <sheetName val="creditors"/>
      <sheetName val="Fixed Assets"/>
      <sheetName val="IT DEP CHART"/>
      <sheetName val="debtors"/>
      <sheetName val="stock"/>
      <sheetName val="FA 5"/>
      <sheetName val="Sheet5"/>
      <sheetName val="TB FROM BANK"/>
      <sheetName val="TB 23.07.18"/>
      <sheetName val="TB old"/>
      <sheetName val="Debtors Ageing"/>
      <sheetName val="cash"/>
      <sheetName val="sales register"/>
      <sheetName val="Grouping"/>
      <sheetName val="Electricity"/>
      <sheetName val="W &amp; DL"/>
      <sheetName val="working"/>
      <sheetName val="SALE &amp; PURCHASE"/>
      <sheetName val="FA additions"/>
      <sheetName val="ICICI BANK SUMMARY"/>
      <sheetName val="debtor creditor working"/>
      <sheetName val="ICICI STATEMENT"/>
      <sheetName val="SBI SUMMARY"/>
      <sheetName val="SBI STATEMENT"/>
      <sheetName val="Deferred Tax Liability"/>
      <sheetName val="Esi, LWF"/>
      <sheetName val="Ins"/>
      <sheetName val="TCS"/>
      <sheetName val="Excise"/>
      <sheetName val="ESIC"/>
      <sheetName val="FA Chart IT"/>
      <sheetName val="disallowance "/>
      <sheetName val="Rates"/>
      <sheetName val="DTA-DT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sheetName val="TAR"/>
      <sheetName val="Profit &amp; loss"/>
      <sheetName val="CFS"/>
      <sheetName val="1-2"/>
      <sheetName val="3-20"/>
      <sheetName val="Trial Balance"/>
      <sheetName val="PPE 10"/>
      <sheetName val="FA"/>
      <sheetName val="IT Dep"/>
      <sheetName val="21-31"/>
      <sheetName val="Ratios"/>
      <sheetName val="Deferred Tax Assets"/>
      <sheetName val="IT computation"/>
      <sheetName val="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7"/>
  <sheetViews>
    <sheetView view="pageBreakPreview" zoomScaleNormal="100" zoomScaleSheetLayoutView="100" workbookViewId="0">
      <selection activeCell="B24" sqref="B24"/>
    </sheetView>
  </sheetViews>
  <sheetFormatPr defaultColWidth="9.140625" defaultRowHeight="15" x14ac:dyDescent="0.25"/>
  <cols>
    <col min="1" max="1" width="5.7109375" style="1" customWidth="1"/>
    <col min="2" max="2" width="65.42578125" style="1" customWidth="1"/>
    <col min="3" max="3" width="8.140625" style="1" customWidth="1"/>
    <col min="4" max="5" width="19.7109375" style="1" customWidth="1"/>
    <col min="6" max="16384" width="9.140625" style="1"/>
  </cols>
  <sheetData>
    <row r="1" spans="1:5" ht="15.75" x14ac:dyDescent="0.25">
      <c r="A1" s="257" t="s">
        <v>20</v>
      </c>
      <c r="B1" s="257"/>
      <c r="C1" s="257"/>
      <c r="D1" s="257"/>
      <c r="E1" s="257"/>
    </row>
    <row r="2" spans="1:5" x14ac:dyDescent="0.25">
      <c r="A2" s="258" t="s">
        <v>21</v>
      </c>
      <c r="B2" s="258"/>
      <c r="C2" s="258"/>
      <c r="D2" s="258"/>
      <c r="E2" s="258"/>
    </row>
    <row r="3" spans="1:5" x14ac:dyDescent="0.25">
      <c r="A3" s="259" t="s">
        <v>391</v>
      </c>
      <c r="B3" s="259"/>
      <c r="C3" s="259"/>
      <c r="D3" s="259"/>
      <c r="E3" s="259"/>
    </row>
    <row r="5" spans="1:5" x14ac:dyDescent="0.25">
      <c r="A5" s="260" t="s">
        <v>28</v>
      </c>
      <c r="B5" s="260"/>
      <c r="C5" s="260"/>
      <c r="D5" s="260"/>
      <c r="E5" s="260"/>
    </row>
    <row r="6" spans="1:5" ht="38.25" customHeight="1" x14ac:dyDescent="0.25">
      <c r="A6" s="255" t="s">
        <v>0</v>
      </c>
      <c r="B6" s="256"/>
      <c r="C6" s="19" t="s">
        <v>90</v>
      </c>
      <c r="D6" s="19" t="s">
        <v>392</v>
      </c>
      <c r="E6" s="19" t="s">
        <v>393</v>
      </c>
    </row>
    <row r="7" spans="1:5" x14ac:dyDescent="0.25">
      <c r="A7" s="2" t="s">
        <v>22</v>
      </c>
      <c r="B7" s="3" t="s">
        <v>384</v>
      </c>
      <c r="C7" s="4"/>
      <c r="D7" s="4"/>
      <c r="E7" s="4"/>
    </row>
    <row r="8" spans="1:5" x14ac:dyDescent="0.25">
      <c r="A8" s="5"/>
      <c r="C8" s="4"/>
      <c r="D8" s="4"/>
      <c r="E8" s="4"/>
    </row>
    <row r="9" spans="1:5" x14ac:dyDescent="0.25">
      <c r="A9" s="2">
        <v>1</v>
      </c>
      <c r="B9" s="3" t="s">
        <v>385</v>
      </c>
      <c r="C9" s="4" t="s">
        <v>394</v>
      </c>
      <c r="D9" s="4"/>
      <c r="E9" s="4"/>
    </row>
    <row r="10" spans="1:5" x14ac:dyDescent="0.25">
      <c r="A10" s="2"/>
      <c r="B10" s="1" t="s">
        <v>31</v>
      </c>
      <c r="C10" s="15">
        <v>1</v>
      </c>
      <c r="D10" s="6"/>
      <c r="E10" s="4"/>
    </row>
    <row r="11" spans="1:5" x14ac:dyDescent="0.25">
      <c r="A11" s="2"/>
      <c r="B11" s="1" t="s">
        <v>32</v>
      </c>
      <c r="C11" s="15">
        <v>2</v>
      </c>
      <c r="D11" s="4"/>
      <c r="E11" s="4"/>
    </row>
    <row r="12" spans="1:5" x14ac:dyDescent="0.25">
      <c r="A12" s="2"/>
      <c r="B12" s="1" t="s">
        <v>23</v>
      </c>
      <c r="C12" s="15">
        <v>3</v>
      </c>
      <c r="D12" s="4"/>
      <c r="E12" s="4"/>
    </row>
    <row r="13" spans="1:5" x14ac:dyDescent="0.25">
      <c r="A13" s="2"/>
      <c r="C13" s="15"/>
      <c r="D13" s="4"/>
      <c r="E13" s="4"/>
    </row>
    <row r="14" spans="1:5" x14ac:dyDescent="0.25">
      <c r="A14" s="2">
        <v>2</v>
      </c>
      <c r="B14" s="3" t="s">
        <v>24</v>
      </c>
      <c r="C14" s="15"/>
      <c r="D14" s="4"/>
      <c r="E14" s="4"/>
    </row>
    <row r="15" spans="1:5" x14ac:dyDescent="0.25">
      <c r="A15" s="2"/>
      <c r="C15" s="15"/>
      <c r="D15" s="4"/>
      <c r="E15" s="4"/>
    </row>
    <row r="16" spans="1:5" x14ac:dyDescent="0.25">
      <c r="A16" s="2">
        <v>3</v>
      </c>
      <c r="B16" s="3" t="s">
        <v>37</v>
      </c>
      <c r="C16" s="15"/>
      <c r="D16" s="4"/>
      <c r="E16" s="4"/>
    </row>
    <row r="17" spans="1:5" x14ac:dyDescent="0.25">
      <c r="A17" s="2"/>
      <c r="B17" s="7" t="s">
        <v>36</v>
      </c>
      <c r="C17" s="15">
        <v>4</v>
      </c>
      <c r="D17" s="4"/>
      <c r="E17" s="4"/>
    </row>
    <row r="18" spans="1:5" x14ac:dyDescent="0.25">
      <c r="A18" s="2"/>
      <c r="B18" s="7" t="s">
        <v>39</v>
      </c>
      <c r="C18" s="15">
        <v>5</v>
      </c>
      <c r="D18" s="4"/>
      <c r="E18" s="4"/>
    </row>
    <row r="19" spans="1:5" x14ac:dyDescent="0.25">
      <c r="A19" s="2"/>
      <c r="B19" s="7" t="s">
        <v>286</v>
      </c>
      <c r="C19" s="15">
        <v>6</v>
      </c>
      <c r="D19" s="4"/>
      <c r="E19" s="4"/>
    </row>
    <row r="20" spans="1:5" x14ac:dyDescent="0.25">
      <c r="A20" s="2"/>
      <c r="B20" s="7" t="s">
        <v>35</v>
      </c>
      <c r="C20" s="15">
        <v>7</v>
      </c>
      <c r="D20" s="4"/>
      <c r="E20" s="4"/>
    </row>
    <row r="21" spans="1:5" x14ac:dyDescent="0.25">
      <c r="A21" s="2"/>
      <c r="C21" s="4"/>
      <c r="D21" s="4"/>
      <c r="E21" s="4"/>
    </row>
    <row r="22" spans="1:5" x14ac:dyDescent="0.25">
      <c r="A22" s="2">
        <v>4</v>
      </c>
      <c r="B22" s="3" t="s">
        <v>19</v>
      </c>
      <c r="C22" s="4"/>
      <c r="D22" s="4"/>
      <c r="E22" s="4"/>
    </row>
    <row r="23" spans="1:5" x14ac:dyDescent="0.25">
      <c r="A23" s="5"/>
      <c r="B23" s="7" t="s">
        <v>34</v>
      </c>
      <c r="C23" s="15">
        <v>8</v>
      </c>
      <c r="D23" s="4"/>
      <c r="E23" s="4"/>
    </row>
    <row r="24" spans="1:5" x14ac:dyDescent="0.25">
      <c r="A24" s="5"/>
      <c r="B24" s="7" t="s">
        <v>25</v>
      </c>
      <c r="C24" s="15">
        <v>9</v>
      </c>
      <c r="D24" s="4"/>
      <c r="E24" s="4"/>
    </row>
    <row r="25" spans="1:5" x14ac:dyDescent="0.25">
      <c r="A25" s="8"/>
      <c r="B25" s="7" t="s">
        <v>26</v>
      </c>
      <c r="C25" s="15">
        <v>10</v>
      </c>
      <c r="D25" s="4"/>
      <c r="E25" s="4"/>
    </row>
    <row r="26" spans="1:5" x14ac:dyDescent="0.25">
      <c r="A26" s="8"/>
      <c r="B26" s="7" t="s">
        <v>33</v>
      </c>
      <c r="C26" s="15">
        <v>11</v>
      </c>
      <c r="D26" s="4"/>
      <c r="E26" s="4"/>
    </row>
    <row r="27" spans="1:5" x14ac:dyDescent="0.25">
      <c r="A27" s="8"/>
      <c r="C27" s="4"/>
      <c r="D27" s="4"/>
      <c r="E27" s="4"/>
    </row>
    <row r="28" spans="1:5" x14ac:dyDescent="0.25">
      <c r="A28" s="9"/>
      <c r="B28" s="10" t="s">
        <v>74</v>
      </c>
      <c r="C28" s="11"/>
      <c r="D28" s="11"/>
      <c r="E28" s="11"/>
    </row>
    <row r="29" spans="1:5" x14ac:dyDescent="0.25">
      <c r="A29" s="8"/>
      <c r="C29" s="12"/>
      <c r="D29" s="4"/>
      <c r="E29" s="4"/>
    </row>
    <row r="30" spans="1:5" x14ac:dyDescent="0.25">
      <c r="A30" s="2" t="s">
        <v>29</v>
      </c>
      <c r="B30" s="3" t="s">
        <v>386</v>
      </c>
      <c r="C30" s="4"/>
      <c r="D30" s="4"/>
      <c r="E30" s="4"/>
    </row>
    <row r="31" spans="1:5" x14ac:dyDescent="0.25">
      <c r="A31" s="5"/>
      <c r="C31" s="4"/>
      <c r="D31" s="4"/>
      <c r="E31" s="4"/>
    </row>
    <row r="32" spans="1:5" x14ac:dyDescent="0.25">
      <c r="A32" s="2">
        <v>1</v>
      </c>
      <c r="B32" s="3" t="s">
        <v>30</v>
      </c>
      <c r="C32" s="4"/>
      <c r="D32" s="4"/>
      <c r="E32" s="4"/>
    </row>
    <row r="33" spans="1:5" x14ac:dyDescent="0.25">
      <c r="A33" s="5"/>
      <c r="B33" s="1" t="s">
        <v>279</v>
      </c>
      <c r="C33" s="15">
        <v>12</v>
      </c>
      <c r="D33" s="4"/>
      <c r="E33" s="4"/>
    </row>
    <row r="34" spans="1:5" x14ac:dyDescent="0.25">
      <c r="A34" s="5"/>
      <c r="B34" s="1" t="s">
        <v>287</v>
      </c>
      <c r="C34" s="15">
        <v>13</v>
      </c>
      <c r="D34" s="4"/>
      <c r="E34" s="4"/>
    </row>
    <row r="35" spans="1:5" x14ac:dyDescent="0.25">
      <c r="A35" s="5"/>
      <c r="B35" s="7" t="s">
        <v>38</v>
      </c>
      <c r="C35" s="15">
        <v>14</v>
      </c>
      <c r="D35" s="4"/>
      <c r="E35" s="4"/>
    </row>
    <row r="36" spans="1:5" x14ac:dyDescent="0.25">
      <c r="A36" s="5"/>
      <c r="B36" s="7" t="s">
        <v>41</v>
      </c>
      <c r="C36" s="15">
        <v>15</v>
      </c>
      <c r="D36" s="4"/>
      <c r="E36" s="4"/>
    </row>
    <row r="37" spans="1:5" x14ac:dyDescent="0.25">
      <c r="A37" s="5"/>
      <c r="B37" s="7" t="s">
        <v>40</v>
      </c>
      <c r="C37" s="15">
        <v>16</v>
      </c>
      <c r="D37" s="4"/>
      <c r="E37" s="4"/>
    </row>
    <row r="38" spans="1:5" x14ac:dyDescent="0.25">
      <c r="A38" s="5"/>
      <c r="C38" s="15"/>
      <c r="D38" s="4"/>
      <c r="E38" s="4"/>
    </row>
    <row r="39" spans="1:5" x14ac:dyDescent="0.25">
      <c r="A39" s="2">
        <v>2</v>
      </c>
      <c r="B39" s="3" t="s">
        <v>42</v>
      </c>
      <c r="C39" s="15"/>
      <c r="D39" s="4"/>
      <c r="E39" s="4"/>
    </row>
    <row r="40" spans="1:5" x14ac:dyDescent="0.25">
      <c r="A40" s="8"/>
      <c r="B40" s="7" t="s">
        <v>291</v>
      </c>
      <c r="C40" s="15">
        <v>17</v>
      </c>
      <c r="D40" s="4"/>
      <c r="E40" s="4"/>
    </row>
    <row r="41" spans="1:5" x14ac:dyDescent="0.25">
      <c r="A41" s="8"/>
      <c r="B41" s="7" t="s">
        <v>43</v>
      </c>
      <c r="C41" s="15">
        <v>18</v>
      </c>
      <c r="D41" s="4"/>
      <c r="E41" s="4"/>
    </row>
    <row r="42" spans="1:5" x14ac:dyDescent="0.25">
      <c r="A42" s="8"/>
      <c r="B42" s="7" t="s">
        <v>290</v>
      </c>
      <c r="C42" s="15">
        <v>19</v>
      </c>
      <c r="D42" s="4"/>
      <c r="E42" s="4"/>
    </row>
    <row r="43" spans="1:5" x14ac:dyDescent="0.25">
      <c r="A43" s="8"/>
      <c r="B43" s="7" t="s">
        <v>289</v>
      </c>
      <c r="C43" s="15">
        <v>20</v>
      </c>
      <c r="D43" s="4"/>
      <c r="E43" s="4"/>
    </row>
    <row r="44" spans="1:5" x14ac:dyDescent="0.25">
      <c r="A44" s="8"/>
      <c r="B44" s="7" t="s">
        <v>44</v>
      </c>
      <c r="C44" s="15">
        <v>21</v>
      </c>
      <c r="D44" s="4"/>
      <c r="E44" s="4"/>
    </row>
    <row r="45" spans="1:5" x14ac:dyDescent="0.25">
      <c r="A45" s="8"/>
      <c r="B45" s="7" t="s">
        <v>288</v>
      </c>
      <c r="C45" s="15">
        <v>22</v>
      </c>
      <c r="D45" s="4"/>
      <c r="E45" s="4"/>
    </row>
    <row r="46" spans="1:5" x14ac:dyDescent="0.25">
      <c r="A46" s="8"/>
      <c r="C46" s="4"/>
      <c r="D46" s="4"/>
      <c r="E46" s="4"/>
    </row>
    <row r="47" spans="1:5" x14ac:dyDescent="0.25">
      <c r="A47" s="9"/>
      <c r="B47" s="10" t="s">
        <v>75</v>
      </c>
      <c r="C47" s="11"/>
      <c r="D47" s="11"/>
      <c r="E47" s="11"/>
    </row>
    <row r="48" spans="1:5" x14ac:dyDescent="0.25">
      <c r="A48" s="13"/>
      <c r="B48" s="14"/>
      <c r="C48" s="12"/>
      <c r="D48" s="12"/>
      <c r="E48" s="12"/>
    </row>
    <row r="49" spans="1:5" x14ac:dyDescent="0.25">
      <c r="A49" s="8"/>
      <c r="B49" s="1" t="s">
        <v>45</v>
      </c>
      <c r="C49" s="15">
        <v>1</v>
      </c>
      <c r="D49" s="4"/>
      <c r="E49" s="4"/>
    </row>
    <row r="50" spans="1:5" x14ac:dyDescent="0.25">
      <c r="A50" s="16"/>
      <c r="B50" s="17" t="s">
        <v>46</v>
      </c>
      <c r="C50" s="18"/>
      <c r="D50" s="18"/>
      <c r="E50" s="18"/>
    </row>
    <row r="51" spans="1:5" x14ac:dyDescent="0.25">
      <c r="B51" s="3"/>
    </row>
    <row r="52" spans="1:5" x14ac:dyDescent="0.25">
      <c r="A52" s="3" t="s">
        <v>48</v>
      </c>
      <c r="B52" s="3"/>
      <c r="C52" s="3"/>
    </row>
    <row r="53" spans="1:5" x14ac:dyDescent="0.25">
      <c r="A53" s="3"/>
      <c r="B53" s="3"/>
    </row>
    <row r="54" spans="1:5" x14ac:dyDescent="0.25">
      <c r="A54" s="253" t="s">
        <v>47</v>
      </c>
      <c r="B54" s="253"/>
    </row>
    <row r="56" spans="1:5" x14ac:dyDescent="0.25">
      <c r="A56" s="253" t="s">
        <v>61</v>
      </c>
      <c r="B56" s="253"/>
      <c r="C56" s="253" t="s">
        <v>56</v>
      </c>
      <c r="D56" s="253"/>
      <c r="E56" s="253"/>
    </row>
    <row r="57" spans="1:5" x14ac:dyDescent="0.25">
      <c r="A57" s="253" t="s">
        <v>49</v>
      </c>
      <c r="B57" s="253"/>
      <c r="C57" s="254" t="s">
        <v>20</v>
      </c>
      <c r="D57" s="254"/>
      <c r="E57" s="254"/>
    </row>
    <row r="58" spans="1:5" x14ac:dyDescent="0.25">
      <c r="A58" s="253" t="s">
        <v>53</v>
      </c>
      <c r="B58" s="253"/>
    </row>
    <row r="62" spans="1:5" x14ac:dyDescent="0.25">
      <c r="A62" s="254" t="s">
        <v>277</v>
      </c>
      <c r="B62" s="254"/>
      <c r="C62" s="3" t="s">
        <v>57</v>
      </c>
      <c r="E62" s="3" t="s">
        <v>60</v>
      </c>
    </row>
    <row r="63" spans="1:5" x14ac:dyDescent="0.25">
      <c r="A63" s="253" t="s">
        <v>50</v>
      </c>
      <c r="B63" s="253"/>
      <c r="C63" s="1" t="s">
        <v>58</v>
      </c>
      <c r="E63" s="1" t="s">
        <v>58</v>
      </c>
    </row>
    <row r="64" spans="1:5" x14ac:dyDescent="0.25">
      <c r="A64" s="253" t="s">
        <v>52</v>
      </c>
      <c r="B64" s="253"/>
      <c r="C64" s="1" t="s">
        <v>59</v>
      </c>
      <c r="E64" s="1" t="s">
        <v>59</v>
      </c>
    </row>
    <row r="66" spans="1:5" x14ac:dyDescent="0.25">
      <c r="A66" s="253" t="s">
        <v>54</v>
      </c>
      <c r="B66" s="253"/>
      <c r="C66" s="253" t="s">
        <v>54</v>
      </c>
      <c r="D66" s="253"/>
      <c r="E66" s="253"/>
    </row>
    <row r="67" spans="1:5" x14ac:dyDescent="0.25">
      <c r="A67" s="253" t="s">
        <v>55</v>
      </c>
      <c r="B67" s="253"/>
      <c r="C67" s="253" t="s">
        <v>55</v>
      </c>
      <c r="D67" s="253"/>
      <c r="E67" s="253"/>
    </row>
  </sheetData>
  <mergeCells count="18">
    <mergeCell ref="A6:B6"/>
    <mergeCell ref="A1:E1"/>
    <mergeCell ref="A2:E2"/>
    <mergeCell ref="A3:E3"/>
    <mergeCell ref="A5:E5"/>
    <mergeCell ref="A54:B54"/>
    <mergeCell ref="A56:B56"/>
    <mergeCell ref="A57:B57"/>
    <mergeCell ref="A58:B58"/>
    <mergeCell ref="A62:B62"/>
    <mergeCell ref="A63:B63"/>
    <mergeCell ref="A64:B64"/>
    <mergeCell ref="A66:B66"/>
    <mergeCell ref="A67:B67"/>
    <mergeCell ref="C56:E56"/>
    <mergeCell ref="C57:E57"/>
    <mergeCell ref="C66:E66"/>
    <mergeCell ref="C67:E67"/>
  </mergeCells>
  <pageMargins left="0.7" right="0.46" top="0.35" bottom="0.2" header="0.3" footer="0.17"/>
  <pageSetup scale="7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5BF94-B901-4ED5-B306-9AC61A424F46}">
  <dimension ref="A1:G80"/>
  <sheetViews>
    <sheetView topLeftCell="A58" workbookViewId="0">
      <selection activeCell="E75" sqref="E75"/>
    </sheetView>
  </sheetViews>
  <sheetFormatPr defaultRowHeight="15" x14ac:dyDescent="0.25"/>
  <cols>
    <col min="1" max="1" width="6.140625" bestFit="1" customWidth="1"/>
    <col min="2" max="2" width="40.5703125" customWidth="1"/>
    <col min="3" max="3" width="19.140625" customWidth="1"/>
    <col min="4" max="4" width="17" customWidth="1"/>
    <col min="5" max="5" width="20.140625" customWidth="1"/>
    <col min="6" max="6" width="18.28515625" customWidth="1"/>
  </cols>
  <sheetData>
    <row r="1" spans="1:7" x14ac:dyDescent="0.25">
      <c r="A1" s="262" t="s">
        <v>481</v>
      </c>
      <c r="B1" s="262"/>
      <c r="C1" s="262"/>
      <c r="D1" s="262"/>
      <c r="E1" s="262"/>
      <c r="F1" s="262"/>
      <c r="G1" s="238"/>
    </row>
    <row r="2" spans="1:7" x14ac:dyDescent="0.25">
      <c r="A2" s="262" t="s">
        <v>482</v>
      </c>
      <c r="B2" s="262"/>
      <c r="C2" s="262"/>
      <c r="D2" s="262"/>
      <c r="E2" s="262"/>
      <c r="F2" s="262"/>
      <c r="G2" s="238"/>
    </row>
    <row r="3" spans="1:7" x14ac:dyDescent="0.25">
      <c r="A3" s="262" t="s">
        <v>483</v>
      </c>
      <c r="B3" s="262"/>
      <c r="C3" s="262"/>
      <c r="D3" s="262"/>
      <c r="E3" s="262"/>
      <c r="F3" s="262"/>
      <c r="G3" s="238"/>
    </row>
    <row r="4" spans="1:7" x14ac:dyDescent="0.25">
      <c r="A4" s="186"/>
      <c r="B4" s="186"/>
      <c r="C4" s="186"/>
      <c r="D4" s="186"/>
      <c r="E4" s="186"/>
      <c r="F4" s="186"/>
    </row>
    <row r="5" spans="1:7" x14ac:dyDescent="0.25">
      <c r="A5" s="263" t="s">
        <v>484</v>
      </c>
      <c r="B5" s="263"/>
      <c r="C5" s="263"/>
      <c r="D5" s="263"/>
      <c r="E5" s="263"/>
      <c r="F5" s="263"/>
    </row>
    <row r="6" spans="1:7" ht="45" customHeight="1" x14ac:dyDescent="0.25">
      <c r="A6" s="209" t="s">
        <v>294</v>
      </c>
      <c r="B6" s="264" t="s">
        <v>0</v>
      </c>
      <c r="C6" s="264"/>
      <c r="D6" s="265"/>
      <c r="E6" s="210" t="s">
        <v>485</v>
      </c>
      <c r="F6" s="210" t="s">
        <v>486</v>
      </c>
    </row>
    <row r="7" spans="1:7" x14ac:dyDescent="0.25">
      <c r="A7" s="211" t="s">
        <v>487</v>
      </c>
      <c r="B7" s="212" t="s">
        <v>488</v>
      </c>
      <c r="C7" s="212"/>
      <c r="D7" s="212"/>
      <c r="E7" s="213"/>
      <c r="F7" s="214"/>
    </row>
    <row r="8" spans="1:7" x14ac:dyDescent="0.25">
      <c r="A8" s="211"/>
      <c r="B8" s="212"/>
      <c r="C8" s="212"/>
      <c r="D8" s="212"/>
      <c r="E8" s="213"/>
      <c r="F8" s="214"/>
    </row>
    <row r="9" spans="1:7" x14ac:dyDescent="0.25">
      <c r="A9" s="215"/>
      <c r="B9" t="s">
        <v>489</v>
      </c>
      <c r="C9" s="216"/>
      <c r="D9" s="216"/>
      <c r="E9" s="217">
        <f>+'[2]Profit &amp; loss'!D24</f>
        <v>-571.625</v>
      </c>
      <c r="F9" s="217">
        <f>+'[2]Profit &amp; loss'!E24</f>
        <v>-714.32999999999993</v>
      </c>
    </row>
    <row r="10" spans="1:7" x14ac:dyDescent="0.25">
      <c r="A10" s="211"/>
      <c r="B10" t="s">
        <v>490</v>
      </c>
      <c r="C10" s="218"/>
      <c r="D10" s="218"/>
      <c r="E10" s="219"/>
      <c r="F10" s="217"/>
    </row>
    <row r="11" spans="1:7" x14ac:dyDescent="0.25">
      <c r="A11" s="215"/>
      <c r="B11" t="s">
        <v>491</v>
      </c>
      <c r="C11" s="216"/>
      <c r="D11" s="216"/>
      <c r="E11" s="219">
        <f>+'[2]Profit &amp; loss'!D15</f>
        <v>506.625</v>
      </c>
      <c r="F11" s="219">
        <f>+'[2]Profit &amp; loss'!E15</f>
        <v>641.16</v>
      </c>
    </row>
    <row r="12" spans="1:7" x14ac:dyDescent="0.25">
      <c r="A12" s="215"/>
      <c r="B12" t="s">
        <v>492</v>
      </c>
      <c r="C12" s="216"/>
      <c r="D12" s="216"/>
      <c r="E12" s="219">
        <v>0</v>
      </c>
      <c r="F12" s="217">
        <v>0</v>
      </c>
    </row>
    <row r="13" spans="1:7" x14ac:dyDescent="0.25">
      <c r="A13" s="215"/>
      <c r="B13" t="s">
        <v>493</v>
      </c>
      <c r="C13" s="216"/>
      <c r="D13" s="216"/>
      <c r="E13" s="219">
        <v>0</v>
      </c>
      <c r="F13" s="217">
        <v>0</v>
      </c>
    </row>
    <row r="14" spans="1:7" x14ac:dyDescent="0.25">
      <c r="A14" s="215"/>
      <c r="B14" t="s">
        <v>494</v>
      </c>
      <c r="C14" s="216"/>
      <c r="D14" s="216"/>
      <c r="E14" s="219">
        <v>0</v>
      </c>
      <c r="F14" s="217">
        <v>0</v>
      </c>
    </row>
    <row r="15" spans="1:7" x14ac:dyDescent="0.25">
      <c r="A15" s="215"/>
      <c r="B15" t="s">
        <v>495</v>
      </c>
      <c r="C15" s="216"/>
      <c r="D15" s="216"/>
      <c r="E15" s="219">
        <v>0</v>
      </c>
      <c r="F15" s="217">
        <v>0</v>
      </c>
    </row>
    <row r="16" spans="1:7" x14ac:dyDescent="0.25">
      <c r="A16" s="215"/>
      <c r="B16" t="s">
        <v>496</v>
      </c>
      <c r="C16" s="216"/>
      <c r="D16" s="216"/>
      <c r="E16" s="219">
        <v>0</v>
      </c>
      <c r="F16" s="217">
        <v>0</v>
      </c>
    </row>
    <row r="17" spans="1:6" x14ac:dyDescent="0.25">
      <c r="A17" s="215"/>
      <c r="B17" s="216"/>
      <c r="C17" s="216"/>
      <c r="D17" s="216"/>
      <c r="E17" s="219"/>
      <c r="F17" s="217"/>
    </row>
    <row r="18" spans="1:6" ht="30" x14ac:dyDescent="0.25">
      <c r="A18" s="215"/>
      <c r="B18" s="212" t="s">
        <v>497</v>
      </c>
      <c r="C18" s="216"/>
      <c r="D18" s="216"/>
      <c r="E18" s="220">
        <f>+E9+E11</f>
        <v>-65</v>
      </c>
      <c r="F18" s="220">
        <f>+F9+F11</f>
        <v>-73.169999999999959</v>
      </c>
    </row>
    <row r="19" spans="1:6" x14ac:dyDescent="0.25">
      <c r="A19" s="215"/>
      <c r="B19" s="216"/>
      <c r="C19" s="216"/>
      <c r="D19" s="216"/>
      <c r="E19" s="220"/>
      <c r="F19" s="220"/>
    </row>
    <row r="20" spans="1:6" x14ac:dyDescent="0.25">
      <c r="A20" s="211"/>
      <c r="B20" s="212" t="s">
        <v>498</v>
      </c>
      <c r="C20" s="212"/>
      <c r="D20" s="212"/>
      <c r="E20" s="219"/>
      <c r="F20" s="217"/>
    </row>
    <row r="21" spans="1:6" x14ac:dyDescent="0.25">
      <c r="A21" s="215"/>
      <c r="B21" s="216" t="s">
        <v>499</v>
      </c>
      <c r="C21" s="216"/>
      <c r="D21" s="216"/>
      <c r="E21" s="219">
        <v>0</v>
      </c>
      <c r="F21" s="217">
        <v>0</v>
      </c>
    </row>
    <row r="22" spans="1:6" ht="30" x14ac:dyDescent="0.25">
      <c r="A22" s="215"/>
      <c r="B22" s="216" t="s">
        <v>500</v>
      </c>
      <c r="C22" s="216"/>
      <c r="D22" s="216"/>
      <c r="E22" s="219">
        <v>0</v>
      </c>
      <c r="F22" s="217">
        <v>0</v>
      </c>
    </row>
    <row r="23" spans="1:6" x14ac:dyDescent="0.25">
      <c r="A23" s="215"/>
      <c r="B23" s="216" t="s">
        <v>501</v>
      </c>
      <c r="C23" s="216"/>
      <c r="D23" s="216"/>
      <c r="E23" s="219">
        <f>+'[2]Balance Sheet'!D16-'[2]Balance Sheet'!E16</f>
        <v>15</v>
      </c>
      <c r="F23" s="217">
        <v>0</v>
      </c>
    </row>
    <row r="24" spans="1:6" ht="30" x14ac:dyDescent="0.25">
      <c r="A24" s="215"/>
      <c r="B24" s="216" t="s">
        <v>502</v>
      </c>
      <c r="C24" s="216"/>
      <c r="D24" s="216"/>
      <c r="E24" s="219">
        <v>0</v>
      </c>
      <c r="F24" s="217">
        <v>0</v>
      </c>
    </row>
    <row r="25" spans="1:6" ht="30" x14ac:dyDescent="0.25">
      <c r="A25" s="215"/>
      <c r="B25" s="216" t="s">
        <v>503</v>
      </c>
      <c r="C25" s="216"/>
      <c r="D25" s="216"/>
      <c r="E25" s="219">
        <v>0</v>
      </c>
      <c r="F25" s="217">
        <v>0</v>
      </c>
    </row>
    <row r="26" spans="1:6" ht="30" x14ac:dyDescent="0.25">
      <c r="A26" s="215"/>
      <c r="B26" s="216" t="s">
        <v>504</v>
      </c>
      <c r="C26" s="216"/>
      <c r="D26" s="216"/>
      <c r="E26" s="219">
        <f>+'[2]Balance Sheet'!D15-'[2]Balance Sheet'!E15</f>
        <v>-57.539879999999357</v>
      </c>
      <c r="F26" s="217">
        <v>75.87</v>
      </c>
    </row>
    <row r="27" spans="1:6" ht="30" x14ac:dyDescent="0.25">
      <c r="A27" s="215"/>
      <c r="B27" s="216" t="s">
        <v>505</v>
      </c>
      <c r="C27" s="216"/>
      <c r="D27" s="216"/>
      <c r="E27" s="219">
        <v>0</v>
      </c>
      <c r="F27" s="217">
        <v>0</v>
      </c>
    </row>
    <row r="28" spans="1:6" x14ac:dyDescent="0.25">
      <c r="A28" s="215"/>
      <c r="B28" s="216" t="s">
        <v>506</v>
      </c>
      <c r="C28" s="216"/>
      <c r="D28" s="216"/>
      <c r="E28" s="219">
        <v>0</v>
      </c>
      <c r="F28" s="217">
        <v>132.5</v>
      </c>
    </row>
    <row r="29" spans="1:6" x14ac:dyDescent="0.25">
      <c r="A29" s="215"/>
      <c r="B29" s="216" t="s">
        <v>507</v>
      </c>
      <c r="C29" s="216"/>
      <c r="D29" s="216"/>
      <c r="E29" s="219">
        <v>0</v>
      </c>
      <c r="F29" s="217">
        <v>0</v>
      </c>
    </row>
    <row r="30" spans="1:6" ht="30" x14ac:dyDescent="0.25">
      <c r="A30" s="215"/>
      <c r="B30" s="216" t="s">
        <v>508</v>
      </c>
      <c r="C30" s="216"/>
      <c r="D30" s="216"/>
      <c r="E30" s="219">
        <f>-+('[2]Balance Sheet'!D30-'[2]Balance Sheet'!E30)</f>
        <v>-2.7002300000000048</v>
      </c>
      <c r="F30" s="217">
        <v>-2.7</v>
      </c>
    </row>
    <row r="31" spans="1:6" x14ac:dyDescent="0.25">
      <c r="A31" s="215"/>
      <c r="B31" s="216"/>
      <c r="C31" s="216"/>
      <c r="D31" s="216"/>
      <c r="E31" s="221"/>
      <c r="F31" s="220"/>
    </row>
    <row r="32" spans="1:6" ht="30" x14ac:dyDescent="0.25">
      <c r="A32" s="215"/>
      <c r="B32" s="212" t="s">
        <v>509</v>
      </c>
      <c r="C32" s="212"/>
      <c r="D32" s="212"/>
      <c r="E32" s="220">
        <f>+E18+SUM(E21:E30)</f>
        <v>-110.24010999999936</v>
      </c>
      <c r="F32" s="220">
        <f>+F18+SUM(F21:F30)</f>
        <v>132.50000000000006</v>
      </c>
    </row>
    <row r="33" spans="1:6" x14ac:dyDescent="0.25">
      <c r="A33" s="215"/>
      <c r="B33" s="216" t="s">
        <v>510</v>
      </c>
      <c r="C33" s="216"/>
      <c r="D33" s="216"/>
      <c r="E33" s="221"/>
      <c r="F33" s="220"/>
    </row>
    <row r="34" spans="1:6" ht="30" x14ac:dyDescent="0.25">
      <c r="A34" s="215"/>
      <c r="B34" s="212" t="s">
        <v>511</v>
      </c>
      <c r="C34" s="212"/>
      <c r="D34" s="212"/>
      <c r="E34" s="220">
        <f>+E32-E33</f>
        <v>-110.24010999999936</v>
      </c>
      <c r="F34" s="220">
        <f>+F32-F33</f>
        <v>132.50000000000006</v>
      </c>
    </row>
    <row r="35" spans="1:6" x14ac:dyDescent="0.25">
      <c r="A35" s="215"/>
      <c r="B35" s="212"/>
      <c r="C35" s="212"/>
      <c r="D35" s="212"/>
      <c r="E35" s="221"/>
      <c r="F35" s="220"/>
    </row>
    <row r="36" spans="1:6" x14ac:dyDescent="0.25">
      <c r="A36" s="211" t="s">
        <v>512</v>
      </c>
      <c r="B36" s="212" t="s">
        <v>513</v>
      </c>
      <c r="C36" s="212"/>
      <c r="D36" s="212"/>
      <c r="E36" s="219"/>
      <c r="F36" s="217"/>
    </row>
    <row r="37" spans="1:6" x14ac:dyDescent="0.25">
      <c r="A37" s="215"/>
      <c r="B37" s="216" t="s">
        <v>514</v>
      </c>
      <c r="C37" s="216"/>
      <c r="D37" s="216"/>
      <c r="E37" s="219"/>
      <c r="F37" s="217"/>
    </row>
    <row r="38" spans="1:6" x14ac:dyDescent="0.25">
      <c r="A38" s="215"/>
      <c r="B38" s="216" t="s">
        <v>515</v>
      </c>
      <c r="C38" s="216"/>
      <c r="D38" s="216"/>
      <c r="E38" s="219">
        <v>0</v>
      </c>
      <c r="F38" s="217">
        <v>0</v>
      </c>
    </row>
    <row r="39" spans="1:6" ht="30" x14ac:dyDescent="0.25">
      <c r="A39" s="215"/>
      <c r="B39" s="216" t="s">
        <v>516</v>
      </c>
      <c r="C39" s="216"/>
      <c r="D39" s="216"/>
      <c r="E39" s="219">
        <v>0</v>
      </c>
      <c r="F39" s="217">
        <v>0</v>
      </c>
    </row>
    <row r="40" spans="1:6" ht="30" x14ac:dyDescent="0.25">
      <c r="A40" s="215"/>
      <c r="B40" s="216" t="s">
        <v>517</v>
      </c>
      <c r="C40" s="216"/>
      <c r="D40" s="216"/>
      <c r="E40" s="219">
        <v>0</v>
      </c>
      <c r="F40" s="217">
        <v>0</v>
      </c>
    </row>
    <row r="41" spans="1:6" x14ac:dyDescent="0.25">
      <c r="A41" s="215"/>
      <c r="B41" s="216" t="s">
        <v>518</v>
      </c>
      <c r="C41" s="216"/>
      <c r="D41" s="216"/>
      <c r="E41" s="219">
        <v>0</v>
      </c>
      <c r="F41" s="217">
        <v>0</v>
      </c>
    </row>
    <row r="42" spans="1:6" x14ac:dyDescent="0.25">
      <c r="A42" s="215"/>
      <c r="B42" s="216" t="s">
        <v>519</v>
      </c>
      <c r="C42" s="216"/>
      <c r="D42" s="216"/>
      <c r="E42" s="219">
        <v>0</v>
      </c>
      <c r="F42" s="217">
        <v>0</v>
      </c>
    </row>
    <row r="43" spans="1:6" ht="30" x14ac:dyDescent="0.25">
      <c r="A43" s="215"/>
      <c r="B43" s="212" t="s">
        <v>520</v>
      </c>
      <c r="C43" s="212"/>
      <c r="D43" s="212"/>
      <c r="E43" s="221">
        <f>SUM(E38:E42)</f>
        <v>0</v>
      </c>
      <c r="F43" s="221">
        <f>SUM(F38:F42)</f>
        <v>0</v>
      </c>
    </row>
    <row r="44" spans="1:6" x14ac:dyDescent="0.25">
      <c r="A44" s="215"/>
      <c r="B44" s="216"/>
      <c r="C44" s="216"/>
      <c r="D44" s="216"/>
      <c r="E44" s="219"/>
      <c r="F44" s="217"/>
    </row>
    <row r="45" spans="1:6" x14ac:dyDescent="0.25">
      <c r="A45" s="211" t="s">
        <v>521</v>
      </c>
      <c r="B45" s="212" t="s">
        <v>522</v>
      </c>
      <c r="C45" s="212"/>
      <c r="D45" s="212"/>
      <c r="E45" s="219"/>
      <c r="F45" s="217"/>
    </row>
    <row r="46" spans="1:6" x14ac:dyDescent="0.25">
      <c r="A46" s="211"/>
      <c r="B46" s="216" t="s">
        <v>523</v>
      </c>
      <c r="C46" s="216"/>
      <c r="D46" s="216"/>
      <c r="E46" s="219">
        <v>0</v>
      </c>
      <c r="F46" s="217">
        <v>0</v>
      </c>
    </row>
    <row r="47" spans="1:6" ht="30" x14ac:dyDescent="0.25">
      <c r="A47" s="211"/>
      <c r="B47" s="216" t="s">
        <v>524</v>
      </c>
      <c r="C47" s="216"/>
      <c r="D47" s="216"/>
      <c r="E47" s="219">
        <v>0</v>
      </c>
      <c r="F47" s="217">
        <v>0</v>
      </c>
    </row>
    <row r="48" spans="1:6" ht="30" x14ac:dyDescent="0.25">
      <c r="A48" s="215"/>
      <c r="B48" s="216" t="s">
        <v>525</v>
      </c>
      <c r="C48" s="216"/>
      <c r="D48" s="216"/>
      <c r="E48" s="219">
        <v>0</v>
      </c>
      <c r="F48" s="217">
        <v>0</v>
      </c>
    </row>
    <row r="49" spans="1:6" ht="30" x14ac:dyDescent="0.25">
      <c r="A49" s="222"/>
      <c r="B49" s="212" t="s">
        <v>526</v>
      </c>
      <c r="C49" s="212"/>
      <c r="D49" s="212"/>
      <c r="E49" s="221">
        <f>SUM(E46:E48)</f>
        <v>0</v>
      </c>
      <c r="F49" s="221">
        <f>SUM(F46:F48)</f>
        <v>0</v>
      </c>
    </row>
    <row r="50" spans="1:6" x14ac:dyDescent="0.25">
      <c r="A50" s="222"/>
      <c r="B50" s="212"/>
      <c r="C50" s="212"/>
      <c r="D50" s="212"/>
      <c r="E50" s="221"/>
      <c r="F50" s="221"/>
    </row>
    <row r="51" spans="1:6" ht="15" customHeight="1" x14ac:dyDescent="0.25">
      <c r="A51" s="223"/>
      <c r="B51" t="s">
        <v>527</v>
      </c>
      <c r="C51" s="224"/>
      <c r="D51" s="224"/>
      <c r="E51" s="220">
        <f>+E34+E43+E49</f>
        <v>-110.24010999999936</v>
      </c>
      <c r="F51" s="220">
        <f>+F34+F43+F49</f>
        <v>132.50000000000006</v>
      </c>
    </row>
    <row r="52" spans="1:6" ht="15" customHeight="1" x14ac:dyDescent="0.25">
      <c r="A52" s="223"/>
      <c r="B52" t="s">
        <v>528</v>
      </c>
      <c r="C52" s="224"/>
      <c r="D52" s="224"/>
      <c r="E52" s="221">
        <f>+F53</f>
        <v>350.59000000000003</v>
      </c>
      <c r="F52" s="220">
        <v>218.09</v>
      </c>
    </row>
    <row r="53" spans="1:6" ht="15" customHeight="1" x14ac:dyDescent="0.25">
      <c r="A53" s="223"/>
      <c r="B53" t="s">
        <v>529</v>
      </c>
      <c r="C53" s="224"/>
      <c r="D53" s="224"/>
      <c r="E53" s="220">
        <f>SUM(E51:E52)</f>
        <v>240.34989000000067</v>
      </c>
      <c r="F53" s="220">
        <f>SUM(F51:F52)</f>
        <v>350.59000000000003</v>
      </c>
    </row>
    <row r="54" spans="1:6" ht="15" customHeight="1" x14ac:dyDescent="0.25">
      <c r="A54" s="223"/>
      <c r="C54" s="224"/>
      <c r="D54" s="224"/>
      <c r="E54" s="220"/>
      <c r="F54" s="220"/>
    </row>
    <row r="55" spans="1:6" x14ac:dyDescent="0.25">
      <c r="A55" s="211" t="s">
        <v>530</v>
      </c>
      <c r="B55" s="225" t="s">
        <v>531</v>
      </c>
      <c r="C55" s="225"/>
      <c r="D55" s="225"/>
      <c r="E55" s="221"/>
      <c r="F55" s="220"/>
    </row>
    <row r="56" spans="1:6" x14ac:dyDescent="0.25">
      <c r="A56" s="226"/>
      <c r="B56" s="227" t="s">
        <v>269</v>
      </c>
      <c r="C56" s="227"/>
      <c r="D56" s="227"/>
      <c r="E56" s="221">
        <f>+'[2]3-15'!D141</f>
        <v>26.032169999999997</v>
      </c>
      <c r="F56" s="220">
        <f>+'[2]3-15'!E141</f>
        <v>136.27000000000001</v>
      </c>
    </row>
    <row r="57" spans="1:6" x14ac:dyDescent="0.25">
      <c r="A57" s="226"/>
      <c r="B57" s="228" t="s">
        <v>532</v>
      </c>
      <c r="C57" s="228"/>
      <c r="D57" s="228"/>
      <c r="E57" s="221"/>
      <c r="F57" s="220"/>
    </row>
    <row r="58" spans="1:6" x14ac:dyDescent="0.25">
      <c r="A58" s="226"/>
      <c r="B58" s="218" t="s">
        <v>533</v>
      </c>
      <c r="C58" s="218"/>
      <c r="D58" s="218"/>
      <c r="E58" s="221">
        <f>+'[2]3-15'!D142</f>
        <v>214.31661</v>
      </c>
      <c r="F58" s="220">
        <f>+'[2]3-15'!E142</f>
        <v>214.32</v>
      </c>
    </row>
    <row r="59" spans="1:6" x14ac:dyDescent="0.25">
      <c r="A59" s="229"/>
      <c r="B59" s="230" t="s">
        <v>16</v>
      </c>
      <c r="C59" s="230"/>
      <c r="D59" s="230"/>
      <c r="E59" s="231">
        <f>+E56+E58</f>
        <v>240.34878</v>
      </c>
      <c r="F59" s="231">
        <f>+F56+F58</f>
        <v>350.59000000000003</v>
      </c>
    </row>
    <row r="60" spans="1:6" x14ac:dyDescent="0.25">
      <c r="A60" s="232"/>
      <c r="B60" s="232"/>
      <c r="C60" s="232"/>
      <c r="D60" s="232"/>
      <c r="E60" s="233"/>
      <c r="F60" s="233"/>
    </row>
    <row r="61" spans="1:6" x14ac:dyDescent="0.25">
      <c r="A61" s="232"/>
      <c r="B61" s="232"/>
      <c r="C61" s="232"/>
      <c r="D61" s="232"/>
      <c r="E61" s="233"/>
      <c r="F61" s="233"/>
    </row>
    <row r="62" spans="1:6" x14ac:dyDescent="0.25">
      <c r="A62" s="232"/>
      <c r="B62" s="232"/>
      <c r="C62" s="232"/>
      <c r="D62" s="232"/>
      <c r="E62" s="233"/>
      <c r="F62" s="233"/>
    </row>
    <row r="63" spans="1:6" x14ac:dyDescent="0.25">
      <c r="A63" s="266" t="s">
        <v>534</v>
      </c>
      <c r="B63" s="266"/>
      <c r="C63" s="266"/>
      <c r="D63" s="266"/>
      <c r="E63" s="266"/>
      <c r="F63" s="266"/>
    </row>
    <row r="64" spans="1:6" x14ac:dyDescent="0.25">
      <c r="A64" s="218"/>
      <c r="B64" s="234"/>
      <c r="C64" s="234"/>
      <c r="D64" s="234"/>
      <c r="E64" s="218"/>
      <c r="F64" s="218"/>
    </row>
    <row r="65" spans="1:7" x14ac:dyDescent="0.25">
      <c r="A65" s="235" t="s">
        <v>397</v>
      </c>
      <c r="B65" s="236"/>
      <c r="C65" s="236"/>
      <c r="D65" s="236"/>
      <c r="E65" s="186"/>
      <c r="F65" s="186"/>
    </row>
    <row r="66" spans="1:7" x14ac:dyDescent="0.25">
      <c r="A66" s="235" t="s">
        <v>535</v>
      </c>
      <c r="B66" s="236"/>
      <c r="C66" s="236"/>
      <c r="D66" s="236"/>
      <c r="E66" s="186"/>
      <c r="F66" s="186"/>
    </row>
    <row r="69" spans="1:7" x14ac:dyDescent="0.25">
      <c r="A69" s="261" t="s">
        <v>536</v>
      </c>
      <c r="B69" s="261"/>
      <c r="D69" s="237" t="s">
        <v>56</v>
      </c>
      <c r="E69" s="237"/>
      <c r="F69" s="237"/>
      <c r="G69" s="237"/>
    </row>
    <row r="70" spans="1:7" x14ac:dyDescent="0.25">
      <c r="A70" s="261" t="s">
        <v>49</v>
      </c>
      <c r="B70" s="261"/>
      <c r="D70" s="237" t="s">
        <v>481</v>
      </c>
      <c r="E70" s="237"/>
      <c r="F70" s="237"/>
      <c r="G70" s="237"/>
    </row>
    <row r="71" spans="1:7" x14ac:dyDescent="0.25">
      <c r="A71" s="261" t="s">
        <v>537</v>
      </c>
      <c r="B71" s="261"/>
    </row>
    <row r="72" spans="1:7" x14ac:dyDescent="0.25">
      <c r="A72" s="237"/>
      <c r="B72" s="237"/>
    </row>
    <row r="73" spans="1:7" x14ac:dyDescent="0.25">
      <c r="A73" s="237"/>
      <c r="B73" s="237"/>
    </row>
    <row r="74" spans="1:7" x14ac:dyDescent="0.25">
      <c r="A74" s="237"/>
      <c r="B74" s="237"/>
    </row>
    <row r="75" spans="1:7" x14ac:dyDescent="0.25">
      <c r="A75" s="261" t="s">
        <v>538</v>
      </c>
      <c r="B75" s="261"/>
      <c r="D75" s="238" t="s">
        <v>539</v>
      </c>
      <c r="E75" s="237" t="s">
        <v>540</v>
      </c>
    </row>
    <row r="76" spans="1:7" x14ac:dyDescent="0.25">
      <c r="A76" s="261" t="s">
        <v>50</v>
      </c>
      <c r="B76" s="261"/>
      <c r="D76" s="237" t="s">
        <v>58</v>
      </c>
      <c r="E76" s="237" t="s">
        <v>58</v>
      </c>
    </row>
    <row r="77" spans="1:7" x14ac:dyDescent="0.25">
      <c r="A77" s="261" t="s">
        <v>541</v>
      </c>
      <c r="B77" s="261"/>
      <c r="D77" s="237" t="s">
        <v>542</v>
      </c>
      <c r="E77" s="237" t="s">
        <v>543</v>
      </c>
    </row>
    <row r="78" spans="1:7" x14ac:dyDescent="0.25">
      <c r="A78" s="261" t="s">
        <v>54</v>
      </c>
      <c r="B78" s="261"/>
    </row>
    <row r="79" spans="1:7" x14ac:dyDescent="0.25">
      <c r="A79" s="261" t="s">
        <v>544</v>
      </c>
      <c r="B79" s="261"/>
    </row>
    <row r="80" spans="1:7" x14ac:dyDescent="0.25">
      <c r="A80" s="237" t="s">
        <v>545</v>
      </c>
      <c r="B80" s="237"/>
    </row>
  </sheetData>
  <mergeCells count="14">
    <mergeCell ref="A77:B77"/>
    <mergeCell ref="A78:B78"/>
    <mergeCell ref="A79:B79"/>
    <mergeCell ref="A1:F1"/>
    <mergeCell ref="A2:F2"/>
    <mergeCell ref="A3:F3"/>
    <mergeCell ref="A69:B69"/>
    <mergeCell ref="A70:B70"/>
    <mergeCell ref="A71:B71"/>
    <mergeCell ref="A75:B75"/>
    <mergeCell ref="A76:B76"/>
    <mergeCell ref="A5:F5"/>
    <mergeCell ref="B6:D6"/>
    <mergeCell ref="A63:F6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6"/>
  <sheetViews>
    <sheetView zoomScaleNormal="100" zoomScaleSheetLayoutView="100" workbookViewId="0">
      <selection activeCell="B16" sqref="B16"/>
    </sheetView>
  </sheetViews>
  <sheetFormatPr defaultRowHeight="15" x14ac:dyDescent="0.25"/>
  <cols>
    <col min="1" max="1" width="5.7109375" customWidth="1"/>
    <col min="2" max="2" width="65.42578125" customWidth="1"/>
    <col min="3" max="3" width="8.140625" customWidth="1"/>
    <col min="4" max="5" width="19.7109375" customWidth="1"/>
  </cols>
  <sheetData>
    <row r="1" spans="1:5" ht="15.75" x14ac:dyDescent="0.25">
      <c r="A1" s="257" t="s">
        <v>20</v>
      </c>
      <c r="B1" s="257"/>
      <c r="C1" s="257"/>
      <c r="D1" s="257"/>
      <c r="E1" s="257"/>
    </row>
    <row r="2" spans="1:5" x14ac:dyDescent="0.25">
      <c r="A2" s="258" t="s">
        <v>21</v>
      </c>
      <c r="B2" s="258"/>
      <c r="C2" s="258"/>
      <c r="D2" s="258"/>
      <c r="E2" s="258"/>
    </row>
    <row r="3" spans="1:5" x14ac:dyDescent="0.25">
      <c r="A3" s="259" t="s">
        <v>62</v>
      </c>
      <c r="B3" s="259"/>
      <c r="C3" s="259"/>
      <c r="D3" s="259"/>
      <c r="E3" s="259"/>
    </row>
    <row r="4" spans="1:5" x14ac:dyDescent="0.25">
      <c r="A4" s="1"/>
      <c r="B4" s="1"/>
      <c r="C4" s="1"/>
      <c r="D4" s="1"/>
      <c r="E4" s="1"/>
    </row>
    <row r="5" spans="1:5" x14ac:dyDescent="0.25">
      <c r="A5" s="260" t="s">
        <v>28</v>
      </c>
      <c r="B5" s="260"/>
      <c r="C5" s="260"/>
      <c r="D5" s="260"/>
      <c r="E5" s="260"/>
    </row>
    <row r="6" spans="1:5" ht="30" x14ac:dyDescent="0.25">
      <c r="A6" s="255" t="s">
        <v>0</v>
      </c>
      <c r="B6" s="256"/>
      <c r="C6" s="19" t="s">
        <v>90</v>
      </c>
      <c r="D6" s="163" t="s">
        <v>275</v>
      </c>
      <c r="E6" s="163" t="s">
        <v>276</v>
      </c>
    </row>
    <row r="7" spans="1:5" x14ac:dyDescent="0.25">
      <c r="A7" s="2"/>
      <c r="B7" s="20"/>
      <c r="C7" s="21"/>
      <c r="D7" s="23"/>
      <c r="E7" s="21"/>
    </row>
    <row r="8" spans="1:5" x14ac:dyDescent="0.25">
      <c r="A8" s="2" t="s">
        <v>22</v>
      </c>
      <c r="B8" s="1" t="s">
        <v>63</v>
      </c>
      <c r="C8" s="15">
        <v>23</v>
      </c>
      <c r="D8" s="24"/>
      <c r="E8" s="4"/>
    </row>
    <row r="9" spans="1:5" x14ac:dyDescent="0.25">
      <c r="A9" s="2" t="s">
        <v>29</v>
      </c>
      <c r="B9" s="1" t="s">
        <v>64</v>
      </c>
      <c r="C9" s="15">
        <v>24</v>
      </c>
      <c r="D9" s="24"/>
      <c r="E9" s="4"/>
    </row>
    <row r="10" spans="1:5" x14ac:dyDescent="0.25">
      <c r="A10" s="2"/>
      <c r="B10" s="1"/>
      <c r="C10" s="4"/>
      <c r="D10" s="24"/>
      <c r="E10" s="4"/>
    </row>
    <row r="11" spans="1:5" x14ac:dyDescent="0.25">
      <c r="A11" s="22" t="s">
        <v>65</v>
      </c>
      <c r="B11" s="10" t="s">
        <v>76</v>
      </c>
      <c r="C11" s="11"/>
      <c r="D11" s="25"/>
      <c r="E11" s="11"/>
    </row>
    <row r="12" spans="1:5" x14ac:dyDescent="0.25">
      <c r="A12" s="2"/>
      <c r="B12" s="1"/>
      <c r="C12" s="4"/>
      <c r="D12" s="24"/>
      <c r="E12" s="4"/>
    </row>
    <row r="13" spans="1:5" x14ac:dyDescent="0.25">
      <c r="A13" s="2" t="s">
        <v>66</v>
      </c>
      <c r="B13" s="3" t="s">
        <v>67</v>
      </c>
      <c r="C13" s="4"/>
      <c r="D13" s="24"/>
      <c r="E13" s="4"/>
    </row>
    <row r="14" spans="1:5" x14ac:dyDescent="0.25">
      <c r="A14" s="2"/>
      <c r="B14" s="1" t="s">
        <v>389</v>
      </c>
      <c r="C14" s="4"/>
      <c r="D14" s="24"/>
      <c r="E14" s="4"/>
    </row>
    <row r="15" spans="1:5" x14ac:dyDescent="0.25">
      <c r="A15" s="2"/>
      <c r="B15" s="1" t="s">
        <v>187</v>
      </c>
      <c r="C15" s="15">
        <v>25</v>
      </c>
      <c r="D15" s="24"/>
      <c r="E15" s="4"/>
    </row>
    <row r="16" spans="1:5" x14ac:dyDescent="0.25">
      <c r="A16" s="2"/>
      <c r="B16" s="1" t="s">
        <v>68</v>
      </c>
      <c r="C16" s="15"/>
      <c r="D16" s="24"/>
      <c r="E16" s="4"/>
    </row>
    <row r="17" spans="1:5" ht="30" x14ac:dyDescent="0.25">
      <c r="A17" s="5"/>
      <c r="B17" s="154" t="s">
        <v>192</v>
      </c>
      <c r="C17" s="15">
        <v>26</v>
      </c>
      <c r="D17" s="24"/>
      <c r="E17" s="4"/>
    </row>
    <row r="18" spans="1:5" x14ac:dyDescent="0.25">
      <c r="A18" s="5"/>
      <c r="B18" s="7" t="s">
        <v>69</v>
      </c>
      <c r="C18" s="15">
        <v>27</v>
      </c>
      <c r="D18" s="24"/>
      <c r="E18" s="4"/>
    </row>
    <row r="19" spans="1:5" x14ac:dyDescent="0.25">
      <c r="A19" s="8"/>
      <c r="B19" s="7" t="s">
        <v>70</v>
      </c>
      <c r="C19" s="15">
        <v>12</v>
      </c>
      <c r="D19" s="24"/>
      <c r="E19" s="4"/>
    </row>
    <row r="20" spans="1:5" x14ac:dyDescent="0.25">
      <c r="A20" s="8"/>
      <c r="B20" s="7" t="s">
        <v>71</v>
      </c>
      <c r="C20" s="15">
        <v>28</v>
      </c>
      <c r="D20" s="24"/>
      <c r="E20" s="4"/>
    </row>
    <row r="21" spans="1:5" x14ac:dyDescent="0.25">
      <c r="A21" s="8"/>
      <c r="B21" s="7" t="s">
        <v>72</v>
      </c>
      <c r="C21" s="15">
        <v>29</v>
      </c>
      <c r="D21" s="24"/>
      <c r="E21" s="4"/>
    </row>
    <row r="22" spans="1:5" x14ac:dyDescent="0.25">
      <c r="A22" s="8"/>
      <c r="B22" s="1"/>
      <c r="C22" s="4"/>
      <c r="D22" s="24"/>
      <c r="E22" s="4"/>
    </row>
    <row r="23" spans="1:5" x14ac:dyDescent="0.25">
      <c r="A23" s="9"/>
      <c r="B23" s="28" t="s">
        <v>73</v>
      </c>
      <c r="C23" s="11"/>
      <c r="D23" s="11"/>
      <c r="E23" s="11"/>
    </row>
    <row r="24" spans="1:5" x14ac:dyDescent="0.25">
      <c r="A24" s="8"/>
      <c r="B24" s="29"/>
      <c r="C24" s="4"/>
      <c r="D24" s="4"/>
      <c r="E24" s="4"/>
    </row>
    <row r="25" spans="1:5" x14ac:dyDescent="0.25">
      <c r="A25" s="2" t="s">
        <v>77</v>
      </c>
      <c r="B25" s="29" t="s">
        <v>85</v>
      </c>
      <c r="C25" s="4"/>
      <c r="D25" s="4"/>
      <c r="E25" s="4"/>
    </row>
    <row r="26" spans="1:5" x14ac:dyDescent="0.25">
      <c r="A26" s="2"/>
      <c r="B26" s="29"/>
      <c r="C26" s="4"/>
      <c r="D26" s="4"/>
      <c r="E26" s="4"/>
    </row>
    <row r="27" spans="1:5" x14ac:dyDescent="0.25">
      <c r="A27" s="2" t="s">
        <v>78</v>
      </c>
      <c r="B27" s="29" t="s">
        <v>79</v>
      </c>
      <c r="C27" s="4"/>
      <c r="D27" s="4"/>
      <c r="E27" s="4"/>
    </row>
    <row r="28" spans="1:5" x14ac:dyDescent="0.25">
      <c r="A28" s="5"/>
      <c r="B28" s="24" t="s">
        <v>80</v>
      </c>
      <c r="C28" s="4"/>
      <c r="D28" s="4"/>
      <c r="E28" s="4"/>
    </row>
    <row r="29" spans="1:5" x14ac:dyDescent="0.25">
      <c r="A29" s="5"/>
      <c r="B29" s="24" t="s">
        <v>81</v>
      </c>
      <c r="C29" s="4"/>
      <c r="D29" s="4"/>
      <c r="E29" s="4"/>
    </row>
    <row r="30" spans="1:5" x14ac:dyDescent="0.25">
      <c r="A30" s="5"/>
      <c r="B30" s="30" t="s">
        <v>82</v>
      </c>
      <c r="C30" s="4"/>
      <c r="D30" s="4"/>
      <c r="E30" s="4"/>
    </row>
    <row r="31" spans="1:5" x14ac:dyDescent="0.25">
      <c r="A31" s="5"/>
      <c r="B31" s="30"/>
      <c r="C31" s="4"/>
      <c r="D31" s="4"/>
      <c r="E31" s="4"/>
    </row>
    <row r="32" spans="1:5" x14ac:dyDescent="0.25">
      <c r="A32" s="2" t="s">
        <v>83</v>
      </c>
      <c r="B32" s="31" t="s">
        <v>84</v>
      </c>
      <c r="C32" s="4"/>
      <c r="D32" s="4"/>
      <c r="E32" s="4"/>
    </row>
    <row r="33" spans="1:5" x14ac:dyDescent="0.25">
      <c r="A33" s="5"/>
      <c r="B33" s="24"/>
      <c r="C33" s="4"/>
      <c r="D33" s="4"/>
      <c r="E33" s="4"/>
    </row>
    <row r="34" spans="1:5" x14ac:dyDescent="0.25">
      <c r="A34" s="2" t="s">
        <v>86</v>
      </c>
      <c r="B34" s="29" t="s">
        <v>87</v>
      </c>
      <c r="C34" s="4"/>
      <c r="D34" s="4"/>
      <c r="E34" s="4"/>
    </row>
    <row r="35" spans="1:5" x14ac:dyDescent="0.25">
      <c r="A35" s="8"/>
      <c r="B35" s="30" t="s">
        <v>88</v>
      </c>
      <c r="C35" s="4"/>
      <c r="D35" s="4"/>
      <c r="E35" s="4"/>
    </row>
    <row r="36" spans="1:5" x14ac:dyDescent="0.25">
      <c r="A36" s="8"/>
      <c r="B36" s="30" t="s">
        <v>89</v>
      </c>
      <c r="C36" s="4"/>
      <c r="D36" s="4"/>
      <c r="E36" s="4"/>
    </row>
    <row r="37" spans="1:5" x14ac:dyDescent="0.25">
      <c r="A37" s="8"/>
      <c r="B37" s="24"/>
      <c r="C37" s="4"/>
      <c r="D37" s="4"/>
      <c r="E37" s="4"/>
    </row>
    <row r="38" spans="1:5" x14ac:dyDescent="0.25">
      <c r="A38" s="8"/>
      <c r="B38" s="24" t="s">
        <v>45</v>
      </c>
      <c r="C38" s="15">
        <v>1</v>
      </c>
      <c r="D38" s="4"/>
      <c r="E38" s="4"/>
    </row>
    <row r="39" spans="1:5" x14ac:dyDescent="0.25">
      <c r="A39" s="16"/>
      <c r="B39" s="26" t="s">
        <v>46</v>
      </c>
      <c r="C39" s="27">
        <f>+'Balance Sheet'!C50</f>
        <v>0</v>
      </c>
      <c r="D39" s="18"/>
      <c r="E39" s="18"/>
    </row>
    <row r="40" spans="1:5" x14ac:dyDescent="0.25">
      <c r="A40" s="1"/>
      <c r="B40" s="3"/>
      <c r="C40" s="1"/>
      <c r="D40" s="1"/>
      <c r="E40" s="1"/>
    </row>
    <row r="41" spans="1:5" x14ac:dyDescent="0.25">
      <c r="A41" s="3" t="s">
        <v>48</v>
      </c>
      <c r="B41" s="3"/>
      <c r="C41" s="3"/>
      <c r="D41" s="1"/>
      <c r="E41" s="1"/>
    </row>
    <row r="42" spans="1:5" x14ac:dyDescent="0.25">
      <c r="A42" s="3"/>
      <c r="B42" s="3"/>
      <c r="C42" s="1"/>
      <c r="D42" s="1"/>
      <c r="E42" s="1"/>
    </row>
    <row r="43" spans="1:5" x14ac:dyDescent="0.25">
      <c r="A43" s="253" t="s">
        <v>47</v>
      </c>
      <c r="B43" s="253"/>
      <c r="C43" s="1"/>
      <c r="D43" s="1"/>
      <c r="E43" s="1"/>
    </row>
    <row r="44" spans="1:5" x14ac:dyDescent="0.25">
      <c r="A44" s="1"/>
      <c r="B44" s="1"/>
      <c r="C44" s="1"/>
      <c r="D44" s="1"/>
      <c r="E44" s="1"/>
    </row>
    <row r="45" spans="1:5" x14ac:dyDescent="0.25">
      <c r="A45" s="253" t="s">
        <v>61</v>
      </c>
      <c r="B45" s="253"/>
      <c r="C45" s="253" t="s">
        <v>56</v>
      </c>
      <c r="D45" s="253"/>
      <c r="E45" s="253"/>
    </row>
    <row r="46" spans="1:5" x14ac:dyDescent="0.25">
      <c r="A46" s="253" t="s">
        <v>49</v>
      </c>
      <c r="B46" s="253"/>
      <c r="C46" s="254" t="s">
        <v>20</v>
      </c>
      <c r="D46" s="254"/>
      <c r="E46" s="254"/>
    </row>
    <row r="47" spans="1:5" x14ac:dyDescent="0.25">
      <c r="A47" s="253" t="s">
        <v>53</v>
      </c>
      <c r="B47" s="253"/>
      <c r="C47" s="1"/>
      <c r="D47" s="1"/>
      <c r="E47" s="1"/>
    </row>
    <row r="48" spans="1:5" x14ac:dyDescent="0.25">
      <c r="A48" s="1"/>
      <c r="B48" s="1"/>
      <c r="C48" s="1"/>
      <c r="D48" s="1"/>
      <c r="E48" s="1"/>
    </row>
    <row r="49" spans="1:5" x14ac:dyDescent="0.25">
      <c r="A49" s="1"/>
      <c r="B49" s="1"/>
      <c r="C49" s="1"/>
      <c r="D49" s="1"/>
      <c r="E49" s="1"/>
    </row>
    <row r="50" spans="1:5" x14ac:dyDescent="0.25">
      <c r="A50" s="1"/>
      <c r="B50" s="1"/>
      <c r="C50" s="1"/>
      <c r="D50" s="1"/>
      <c r="E50" s="1"/>
    </row>
    <row r="51" spans="1:5" x14ac:dyDescent="0.25">
      <c r="A51" s="254" t="s">
        <v>51</v>
      </c>
      <c r="B51" s="254"/>
      <c r="C51" s="3" t="s">
        <v>57</v>
      </c>
      <c r="D51" s="1"/>
      <c r="E51" s="3" t="s">
        <v>60</v>
      </c>
    </row>
    <row r="52" spans="1:5" x14ac:dyDescent="0.25">
      <c r="A52" s="253" t="s">
        <v>50</v>
      </c>
      <c r="B52" s="253"/>
      <c r="C52" s="1" t="s">
        <v>58</v>
      </c>
      <c r="D52" s="1"/>
      <c r="E52" s="1" t="s">
        <v>58</v>
      </c>
    </row>
    <row r="53" spans="1:5" x14ac:dyDescent="0.25">
      <c r="A53" s="253" t="s">
        <v>52</v>
      </c>
      <c r="B53" s="253"/>
      <c r="C53" s="1" t="s">
        <v>59</v>
      </c>
      <c r="D53" s="1"/>
      <c r="E53" s="1" t="s">
        <v>59</v>
      </c>
    </row>
    <row r="54" spans="1:5" x14ac:dyDescent="0.25">
      <c r="A54" s="1"/>
      <c r="B54" s="1"/>
      <c r="C54" s="1"/>
      <c r="D54" s="1"/>
      <c r="E54" s="1"/>
    </row>
    <row r="55" spans="1:5" x14ac:dyDescent="0.25">
      <c r="A55" s="253" t="s">
        <v>54</v>
      </c>
      <c r="B55" s="253"/>
      <c r="C55" s="253" t="s">
        <v>54</v>
      </c>
      <c r="D55" s="253"/>
      <c r="E55" s="253"/>
    </row>
    <row r="56" spans="1:5" x14ac:dyDescent="0.25">
      <c r="A56" s="253" t="s">
        <v>55</v>
      </c>
      <c r="B56" s="253"/>
      <c r="C56" s="253" t="s">
        <v>55</v>
      </c>
      <c r="D56" s="253"/>
      <c r="E56" s="253"/>
    </row>
  </sheetData>
  <mergeCells count="18">
    <mergeCell ref="A51:B51"/>
    <mergeCell ref="A1:E1"/>
    <mergeCell ref="A2:E2"/>
    <mergeCell ref="A3:E3"/>
    <mergeCell ref="A5:E5"/>
    <mergeCell ref="A6:B6"/>
    <mergeCell ref="A43:B43"/>
    <mergeCell ref="A45:B45"/>
    <mergeCell ref="C45:E45"/>
    <mergeCell ref="A46:B46"/>
    <mergeCell ref="C46:E46"/>
    <mergeCell ref="A47:B47"/>
    <mergeCell ref="A52:B52"/>
    <mergeCell ref="A53:B53"/>
    <mergeCell ref="A55:B55"/>
    <mergeCell ref="C55:E55"/>
    <mergeCell ref="A56:B56"/>
    <mergeCell ref="C56:E56"/>
  </mergeCells>
  <pageMargins left="0.7" right="0.7" top="0.75" bottom="0.75" header="0.3" footer="0.3"/>
  <pageSetup scale="7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5"/>
  <sheetViews>
    <sheetView tabSelected="1" view="pageBreakPreview" topLeftCell="A124" zoomScaleNormal="100" zoomScaleSheetLayoutView="100" workbookViewId="0">
      <selection activeCell="A137" sqref="A137:A138"/>
    </sheetView>
  </sheetViews>
  <sheetFormatPr defaultColWidth="9.140625" defaultRowHeight="15" x14ac:dyDescent="0.25"/>
  <cols>
    <col min="1" max="1" width="70.5703125" style="1" bestFit="1" customWidth="1"/>
    <col min="2" max="2" width="18.42578125" style="1" bestFit="1" customWidth="1"/>
    <col min="3" max="3" width="16" style="1" bestFit="1" customWidth="1"/>
    <col min="4" max="4" width="24.42578125" style="1" bestFit="1" customWidth="1"/>
    <col min="5" max="5" width="15.140625" style="1" bestFit="1" customWidth="1"/>
    <col min="6" max="16384" width="9.140625" style="1"/>
  </cols>
  <sheetData>
    <row r="1" spans="1:5" x14ac:dyDescent="0.25">
      <c r="A1" s="259" t="str">
        <f>+'Profit &amp; loss'!A1:E1</f>
        <v>ABC Private Limited</v>
      </c>
      <c r="B1" s="259"/>
      <c r="C1" s="259"/>
      <c r="D1" s="259"/>
      <c r="E1" s="259"/>
    </row>
    <row r="3" spans="1:5" x14ac:dyDescent="0.25">
      <c r="A3" s="295" t="s">
        <v>99</v>
      </c>
      <c r="B3" s="295"/>
      <c r="C3" s="295"/>
      <c r="D3" s="295"/>
      <c r="E3" s="295"/>
    </row>
    <row r="4" spans="1:5" x14ac:dyDescent="0.25">
      <c r="A4" s="32"/>
      <c r="B4" s="32"/>
      <c r="C4" s="32"/>
      <c r="D4" s="32"/>
      <c r="E4" s="32"/>
    </row>
    <row r="5" spans="1:5" x14ac:dyDescent="0.25">
      <c r="A5" s="291" t="s">
        <v>28</v>
      </c>
      <c r="B5" s="291"/>
      <c r="C5" s="291"/>
      <c r="D5" s="291"/>
      <c r="E5" s="291"/>
    </row>
    <row r="6" spans="1:5" x14ac:dyDescent="0.25">
      <c r="A6" s="32" t="s">
        <v>126</v>
      </c>
      <c r="B6" s="33"/>
      <c r="C6" s="33"/>
    </row>
    <row r="7" spans="1:5" x14ac:dyDescent="0.25">
      <c r="A7" s="32"/>
      <c r="B7" s="33"/>
      <c r="C7" s="33"/>
    </row>
    <row r="8" spans="1:5" x14ac:dyDescent="0.25">
      <c r="A8" s="52" t="s">
        <v>100</v>
      </c>
      <c r="B8" s="52"/>
      <c r="C8" s="52"/>
      <c r="D8" s="52"/>
      <c r="E8" s="52"/>
    </row>
    <row r="9" spans="1:5" ht="15" customHeight="1" x14ac:dyDescent="0.25">
      <c r="A9" s="83" t="s">
        <v>0</v>
      </c>
      <c r="B9" s="283" t="s">
        <v>97</v>
      </c>
      <c r="C9" s="283"/>
      <c r="D9" s="300" t="s">
        <v>91</v>
      </c>
      <c r="E9" s="283"/>
    </row>
    <row r="10" spans="1:5" x14ac:dyDescent="0.25">
      <c r="A10" s="84"/>
      <c r="B10" s="86" t="s">
        <v>92</v>
      </c>
      <c r="C10" s="87" t="s">
        <v>98</v>
      </c>
      <c r="D10" s="86" t="s">
        <v>92</v>
      </c>
      <c r="E10" s="87" t="s">
        <v>98</v>
      </c>
    </row>
    <row r="11" spans="1:5" x14ac:dyDescent="0.25">
      <c r="A11" s="85" t="s">
        <v>93</v>
      </c>
      <c r="B11" s="109"/>
      <c r="C11" s="109"/>
      <c r="D11" s="109"/>
      <c r="E11" s="109"/>
    </row>
    <row r="12" spans="1:5" x14ac:dyDescent="0.25">
      <c r="A12" s="85" t="s">
        <v>94</v>
      </c>
      <c r="B12" s="114">
        <v>0</v>
      </c>
      <c r="C12" s="100">
        <f>+B12*10</f>
        <v>0</v>
      </c>
      <c r="D12" s="114">
        <v>0</v>
      </c>
      <c r="E12" s="100">
        <f>+D12*10</f>
        <v>0</v>
      </c>
    </row>
    <row r="13" spans="1:5" x14ac:dyDescent="0.25">
      <c r="A13" s="85"/>
      <c r="B13" s="109"/>
      <c r="C13" s="112"/>
      <c r="D13" s="109"/>
      <c r="E13" s="112"/>
    </row>
    <row r="14" spans="1:5" x14ac:dyDescent="0.25">
      <c r="A14" s="85" t="s">
        <v>95</v>
      </c>
      <c r="B14" s="109"/>
      <c r="C14" s="112"/>
      <c r="D14" s="109"/>
      <c r="E14" s="112"/>
    </row>
    <row r="15" spans="1:5" x14ac:dyDescent="0.25">
      <c r="A15" s="85" t="s">
        <v>94</v>
      </c>
      <c r="B15" s="114">
        <v>0</v>
      </c>
      <c r="C15" s="100">
        <f>+B15*10</f>
        <v>0</v>
      </c>
      <c r="D15" s="114">
        <v>0</v>
      </c>
      <c r="E15" s="100">
        <f>+D15*10</f>
        <v>0</v>
      </c>
    </row>
    <row r="16" spans="1:5" x14ac:dyDescent="0.25">
      <c r="A16" s="85"/>
      <c r="B16" s="109"/>
      <c r="C16" s="112"/>
      <c r="D16" s="109"/>
      <c r="E16" s="112"/>
    </row>
    <row r="17" spans="1:5" x14ac:dyDescent="0.25">
      <c r="A17" s="85" t="s">
        <v>96</v>
      </c>
      <c r="B17" s="109"/>
      <c r="C17" s="112"/>
      <c r="D17" s="109"/>
      <c r="E17" s="112"/>
    </row>
    <row r="18" spans="1:5" x14ac:dyDescent="0.25">
      <c r="A18" s="113" t="s">
        <v>94</v>
      </c>
      <c r="B18" s="110">
        <v>0</v>
      </c>
      <c r="C18" s="111">
        <f>+B18*10</f>
        <v>0</v>
      </c>
      <c r="D18" s="110">
        <v>0</v>
      </c>
      <c r="E18" s="111">
        <f>+D18*10</f>
        <v>0</v>
      </c>
    </row>
    <row r="21" spans="1:5" ht="15.75" customHeight="1" x14ac:dyDescent="0.25">
      <c r="A21" s="38" t="s">
        <v>121</v>
      </c>
      <c r="B21" s="38"/>
      <c r="C21" s="38"/>
      <c r="D21" s="38"/>
      <c r="E21" s="38"/>
    </row>
    <row r="22" spans="1:5" ht="15" customHeight="1" x14ac:dyDescent="0.25">
      <c r="A22" s="296" t="s">
        <v>101</v>
      </c>
      <c r="B22" s="283" t="s">
        <v>97</v>
      </c>
      <c r="C22" s="283"/>
      <c r="D22" s="283" t="s">
        <v>91</v>
      </c>
      <c r="E22" s="283"/>
    </row>
    <row r="23" spans="1:5" x14ac:dyDescent="0.25">
      <c r="A23" s="297"/>
      <c r="B23" s="86" t="s">
        <v>92</v>
      </c>
      <c r="C23" s="87" t="s">
        <v>98</v>
      </c>
      <c r="D23" s="86" t="s">
        <v>92</v>
      </c>
      <c r="E23" s="87" t="s">
        <v>98</v>
      </c>
    </row>
    <row r="24" spans="1:5" x14ac:dyDescent="0.25">
      <c r="A24" s="39" t="s">
        <v>102</v>
      </c>
      <c r="B24" s="40">
        <v>0</v>
      </c>
      <c r="C24" s="41">
        <v>0</v>
      </c>
      <c r="D24" s="40">
        <v>0</v>
      </c>
      <c r="E24" s="41">
        <f>+D24*10</f>
        <v>0</v>
      </c>
    </row>
    <row r="25" spans="1:5" x14ac:dyDescent="0.25">
      <c r="A25" s="39" t="s">
        <v>103</v>
      </c>
      <c r="B25" s="40">
        <v>0</v>
      </c>
      <c r="C25" s="42">
        <f>+B25*10</f>
        <v>0</v>
      </c>
      <c r="D25" s="40">
        <v>0</v>
      </c>
      <c r="E25" s="42">
        <f>+D25*10</f>
        <v>0</v>
      </c>
    </row>
    <row r="26" spans="1:5" x14ac:dyDescent="0.25">
      <c r="A26" s="39" t="s">
        <v>104</v>
      </c>
      <c r="B26" s="40">
        <v>0</v>
      </c>
      <c r="C26" s="41">
        <f>+B26*10</f>
        <v>0</v>
      </c>
      <c r="D26" s="40">
        <v>0</v>
      </c>
      <c r="E26" s="41">
        <f>+D26*10</f>
        <v>0</v>
      </c>
    </row>
    <row r="27" spans="1:5" x14ac:dyDescent="0.25">
      <c r="A27" s="18" t="s">
        <v>105</v>
      </c>
      <c r="B27" s="88">
        <v>0</v>
      </c>
      <c r="C27" s="89">
        <v>0</v>
      </c>
      <c r="D27" s="88">
        <v>0</v>
      </c>
      <c r="E27" s="89">
        <f>+D27*10</f>
        <v>0</v>
      </c>
    </row>
    <row r="28" spans="1:5" x14ac:dyDescent="0.25">
      <c r="A28" s="44"/>
      <c r="B28" s="45"/>
      <c r="C28" s="46"/>
      <c r="D28" s="47"/>
      <c r="E28" s="35"/>
    </row>
    <row r="29" spans="1:5" x14ac:dyDescent="0.25">
      <c r="A29" s="44"/>
      <c r="B29" s="45"/>
      <c r="C29" s="46"/>
      <c r="D29" s="47"/>
      <c r="E29" s="35"/>
    </row>
    <row r="30" spans="1:5" x14ac:dyDescent="0.25">
      <c r="A30" s="48" t="s">
        <v>106</v>
      </c>
      <c r="B30" s="48"/>
      <c r="C30" s="48"/>
      <c r="D30" s="48"/>
      <c r="E30" s="48"/>
    </row>
    <row r="31" spans="1:5" ht="15" customHeight="1" x14ac:dyDescent="0.25">
      <c r="A31" s="298" t="s">
        <v>109</v>
      </c>
      <c r="B31" s="283" t="s">
        <v>97</v>
      </c>
      <c r="C31" s="283"/>
      <c r="D31" s="283" t="s">
        <v>91</v>
      </c>
      <c r="E31" s="283"/>
    </row>
    <row r="32" spans="1:5" ht="15.75" customHeight="1" x14ac:dyDescent="0.25">
      <c r="A32" s="299"/>
      <c r="B32" s="86" t="s">
        <v>92</v>
      </c>
      <c r="C32" s="87" t="s">
        <v>110</v>
      </c>
      <c r="D32" s="86" t="s">
        <v>92</v>
      </c>
      <c r="E32" s="87" t="s">
        <v>110</v>
      </c>
    </row>
    <row r="33" spans="1:5" x14ac:dyDescent="0.25">
      <c r="A33" s="49" t="s">
        <v>108</v>
      </c>
      <c r="B33" s="50">
        <v>0</v>
      </c>
      <c r="C33" s="51">
        <v>0</v>
      </c>
      <c r="D33" s="50">
        <v>0</v>
      </c>
      <c r="E33" s="51">
        <v>0</v>
      </c>
    </row>
    <row r="34" spans="1:5" x14ac:dyDescent="0.25">
      <c r="A34" s="43" t="s">
        <v>107</v>
      </c>
      <c r="B34" s="90">
        <v>0</v>
      </c>
      <c r="C34" s="91">
        <v>0</v>
      </c>
      <c r="D34" s="90">
        <v>0</v>
      </c>
      <c r="E34" s="91">
        <v>0</v>
      </c>
    </row>
    <row r="36" spans="1:5" x14ac:dyDescent="0.25">
      <c r="A36" s="170" t="s">
        <v>292</v>
      </c>
      <c r="B36" s="171"/>
      <c r="C36" s="171"/>
      <c r="D36" s="171"/>
      <c r="E36" s="171"/>
    </row>
    <row r="37" spans="1:5" x14ac:dyDescent="0.25">
      <c r="A37" s="172" t="s">
        <v>293</v>
      </c>
      <c r="B37" s="288"/>
      <c r="C37" s="290"/>
      <c r="D37" s="290"/>
      <c r="E37" s="289"/>
    </row>
    <row r="38" spans="1:5" x14ac:dyDescent="0.25">
      <c r="A38" s="173" t="s">
        <v>295</v>
      </c>
      <c r="B38" s="173" t="s">
        <v>296</v>
      </c>
      <c r="C38" s="173" t="s">
        <v>297</v>
      </c>
      <c r="D38" s="281" t="s">
        <v>298</v>
      </c>
      <c r="E38" s="287"/>
    </row>
    <row r="39" spans="1:5" x14ac:dyDescent="0.25">
      <c r="A39" s="174" t="s">
        <v>57</v>
      </c>
      <c r="B39" s="174"/>
      <c r="C39" s="174"/>
      <c r="D39" s="288"/>
      <c r="E39" s="289"/>
    </row>
    <row r="40" spans="1:5" x14ac:dyDescent="0.25">
      <c r="A40" s="174" t="s">
        <v>60</v>
      </c>
      <c r="B40" s="174"/>
      <c r="C40" s="174"/>
      <c r="D40" s="288"/>
      <c r="E40" s="289"/>
    </row>
    <row r="42" spans="1:5" ht="64.5" customHeight="1" x14ac:dyDescent="0.25">
      <c r="A42" s="285" t="s">
        <v>299</v>
      </c>
      <c r="B42" s="285"/>
      <c r="C42" s="285"/>
      <c r="D42" s="285"/>
      <c r="E42" s="285"/>
    </row>
    <row r="45" spans="1:5" x14ac:dyDescent="0.25">
      <c r="A45" s="52" t="s">
        <v>5</v>
      </c>
      <c r="B45" s="53"/>
      <c r="C45" s="53"/>
      <c r="D45" s="53"/>
    </row>
    <row r="46" spans="1:5" ht="30" x14ac:dyDescent="0.25">
      <c r="A46" s="286" t="s">
        <v>0</v>
      </c>
      <c r="B46" s="286"/>
      <c r="C46" s="286"/>
      <c r="D46" s="54" t="s">
        <v>1</v>
      </c>
      <c r="E46" s="54" t="s">
        <v>2</v>
      </c>
    </row>
    <row r="47" spans="1:5" x14ac:dyDescent="0.25">
      <c r="A47" s="144"/>
      <c r="B47" s="145"/>
      <c r="C47" s="145"/>
      <c r="D47" s="67"/>
      <c r="E47" s="67"/>
    </row>
    <row r="48" spans="1:5" x14ac:dyDescent="0.25">
      <c r="A48" s="55" t="s">
        <v>8</v>
      </c>
      <c r="B48" s="56"/>
      <c r="D48" s="57"/>
      <c r="E48" s="57"/>
    </row>
    <row r="49" spans="1:7" x14ac:dyDescent="0.25">
      <c r="A49" s="58" t="s">
        <v>6</v>
      </c>
      <c r="B49" s="56"/>
      <c r="D49" s="107">
        <v>0</v>
      </c>
      <c r="E49" s="107">
        <v>0</v>
      </c>
    </row>
    <row r="50" spans="1:7" x14ac:dyDescent="0.25">
      <c r="A50" s="75" t="s">
        <v>9</v>
      </c>
      <c r="B50" s="56"/>
      <c r="D50" s="107">
        <v>0</v>
      </c>
      <c r="E50" s="107">
        <v>0</v>
      </c>
    </row>
    <row r="51" spans="1:7" x14ac:dyDescent="0.25">
      <c r="A51" s="75" t="s">
        <v>10</v>
      </c>
      <c r="B51" s="56"/>
      <c r="D51" s="107">
        <v>0</v>
      </c>
      <c r="E51" s="107">
        <v>0</v>
      </c>
    </row>
    <row r="52" spans="1:7" x14ac:dyDescent="0.25">
      <c r="A52" s="59" t="s">
        <v>7</v>
      </c>
      <c r="B52" s="56"/>
      <c r="D52" s="108">
        <f>+D49+D50-D51</f>
        <v>0</v>
      </c>
      <c r="E52" s="108">
        <f>+E49+E50-E51</f>
        <v>0</v>
      </c>
    </row>
    <row r="53" spans="1:7" x14ac:dyDescent="0.25">
      <c r="A53" s="55"/>
      <c r="B53" s="56"/>
      <c r="D53" s="107"/>
      <c r="E53" s="107"/>
    </row>
    <row r="54" spans="1:7" x14ac:dyDescent="0.25">
      <c r="A54" s="60" t="s">
        <v>11</v>
      </c>
      <c r="B54" s="56"/>
      <c r="D54" s="107"/>
      <c r="E54" s="107"/>
    </row>
    <row r="55" spans="1:7" x14ac:dyDescent="0.25">
      <c r="A55" s="58" t="s">
        <v>6</v>
      </c>
      <c r="B55" s="56"/>
      <c r="D55" s="107">
        <v>0</v>
      </c>
      <c r="E55" s="107">
        <v>0</v>
      </c>
    </row>
    <row r="56" spans="1:7" x14ac:dyDescent="0.25">
      <c r="A56" s="58" t="s">
        <v>122</v>
      </c>
      <c r="B56" s="61"/>
      <c r="D56" s="107">
        <v>0</v>
      </c>
      <c r="E56" s="107">
        <v>0</v>
      </c>
    </row>
    <row r="57" spans="1:7" x14ac:dyDescent="0.25">
      <c r="A57" s="58" t="s">
        <v>123</v>
      </c>
      <c r="B57" s="61"/>
      <c r="D57" s="107">
        <v>0</v>
      </c>
      <c r="E57" s="107">
        <v>0</v>
      </c>
    </row>
    <row r="58" spans="1:7" x14ac:dyDescent="0.25">
      <c r="A58" s="58"/>
      <c r="B58" s="61"/>
      <c r="D58" s="115"/>
      <c r="E58" s="62"/>
    </row>
    <row r="59" spans="1:7" x14ac:dyDescent="0.25">
      <c r="A59" s="58"/>
      <c r="B59" s="61"/>
      <c r="D59" s="115"/>
      <c r="E59" s="62"/>
    </row>
    <row r="60" spans="1:7" x14ac:dyDescent="0.25">
      <c r="A60" s="274" t="s">
        <v>7</v>
      </c>
      <c r="B60" s="275"/>
      <c r="C60" s="276"/>
      <c r="D60" s="63">
        <f>+D52+D55+D56-D57</f>
        <v>0</v>
      </c>
      <c r="E60" s="63">
        <f>+E52+E55+E56-E57</f>
        <v>0</v>
      </c>
    </row>
    <row r="63" spans="1:7" x14ac:dyDescent="0.25">
      <c r="A63" s="52" t="s">
        <v>120</v>
      </c>
      <c r="B63" s="53"/>
      <c r="C63" s="53"/>
      <c r="D63" s="53"/>
      <c r="E63" s="53"/>
      <c r="F63" s="82"/>
      <c r="G63" s="82"/>
    </row>
    <row r="64" spans="1:7" ht="30" x14ac:dyDescent="0.25">
      <c r="A64" s="292" t="s">
        <v>0</v>
      </c>
      <c r="B64" s="293"/>
      <c r="C64" s="294"/>
      <c r="D64" s="54" t="s">
        <v>1</v>
      </c>
      <c r="E64" s="54" t="s">
        <v>2</v>
      </c>
    </row>
    <row r="65" spans="1:6" x14ac:dyDescent="0.25">
      <c r="A65" s="146"/>
      <c r="B65" s="147"/>
      <c r="C65" s="147"/>
      <c r="D65" s="67"/>
      <c r="E65" s="67"/>
    </row>
    <row r="66" spans="1:6" x14ac:dyDescent="0.25">
      <c r="A66" s="59" t="s">
        <v>4</v>
      </c>
      <c r="B66" s="66"/>
      <c r="C66" s="66"/>
      <c r="D66" s="67"/>
      <c r="E66" s="67"/>
    </row>
    <row r="67" spans="1:6" x14ac:dyDescent="0.25">
      <c r="A67" s="58" t="s">
        <v>251</v>
      </c>
      <c r="B67" s="66"/>
      <c r="C67" s="66"/>
      <c r="D67" s="106">
        <v>0</v>
      </c>
      <c r="E67" s="103">
        <v>0</v>
      </c>
    </row>
    <row r="68" spans="1:6" x14ac:dyDescent="0.25">
      <c r="A68" s="58"/>
      <c r="B68" s="66"/>
      <c r="C68" s="66"/>
      <c r="D68" s="104"/>
      <c r="E68" s="104"/>
    </row>
    <row r="69" spans="1:6" x14ac:dyDescent="0.25">
      <c r="A69" s="59" t="s">
        <v>3</v>
      </c>
      <c r="B69" s="56"/>
      <c r="C69" s="56"/>
      <c r="D69" s="57"/>
      <c r="E69" s="57"/>
    </row>
    <row r="70" spans="1:6" x14ac:dyDescent="0.25">
      <c r="A70" s="58" t="s">
        <v>13</v>
      </c>
      <c r="C70" s="56"/>
      <c r="D70" s="69">
        <v>0</v>
      </c>
      <c r="E70" s="69">
        <v>0</v>
      </c>
    </row>
    <row r="71" spans="1:6" x14ac:dyDescent="0.25">
      <c r="A71" s="58" t="s">
        <v>14</v>
      </c>
      <c r="C71" s="56"/>
      <c r="D71" s="69">
        <v>0</v>
      </c>
      <c r="E71" s="69">
        <v>0</v>
      </c>
    </row>
    <row r="72" spans="1:6" x14ac:dyDescent="0.25">
      <c r="A72" s="58"/>
      <c r="C72" s="56"/>
      <c r="D72" s="69"/>
      <c r="E72" s="69"/>
    </row>
    <row r="73" spans="1:6" x14ac:dyDescent="0.25">
      <c r="A73" s="58" t="s">
        <v>12</v>
      </c>
      <c r="C73" s="56"/>
      <c r="D73" s="69">
        <v>0</v>
      </c>
      <c r="E73" s="69">
        <v>0</v>
      </c>
    </row>
    <row r="74" spans="1:6" x14ac:dyDescent="0.25">
      <c r="A74" s="58"/>
      <c r="C74" s="56"/>
      <c r="D74" s="69"/>
      <c r="E74" s="69"/>
    </row>
    <row r="75" spans="1:6" x14ac:dyDescent="0.25">
      <c r="A75" s="274" t="s">
        <v>16</v>
      </c>
      <c r="B75" s="275"/>
      <c r="C75" s="276"/>
      <c r="D75" s="105">
        <f>SUM(D69:D70)</f>
        <v>0</v>
      </c>
      <c r="E75" s="105">
        <f>SUM(E70:E70)</f>
        <v>0</v>
      </c>
    </row>
    <row r="78" spans="1:6" x14ac:dyDescent="0.25">
      <c r="A78" s="37" t="s">
        <v>127</v>
      </c>
      <c r="B78" s="37"/>
      <c r="C78" s="37"/>
      <c r="D78" s="37"/>
      <c r="E78" s="37"/>
      <c r="F78" s="37"/>
    </row>
    <row r="79" spans="1:6" ht="30" x14ac:dyDescent="0.25">
      <c r="A79" s="269" t="s">
        <v>0</v>
      </c>
      <c r="B79" s="270"/>
      <c r="C79" s="270"/>
      <c r="D79" s="54" t="s">
        <v>1</v>
      </c>
      <c r="E79" s="54" t="s">
        <v>2</v>
      </c>
    </row>
    <row r="80" spans="1:6" x14ac:dyDescent="0.25">
      <c r="A80" s="139"/>
      <c r="B80" s="140"/>
      <c r="C80" s="140"/>
      <c r="D80" s="67"/>
      <c r="E80" s="67"/>
    </row>
    <row r="81" spans="1:6" x14ac:dyDescent="0.25">
      <c r="A81" s="93" t="s">
        <v>113</v>
      </c>
      <c r="B81" s="32"/>
      <c r="C81" s="32"/>
      <c r="D81" s="95"/>
      <c r="E81" s="97"/>
    </row>
    <row r="82" spans="1:6" x14ac:dyDescent="0.25">
      <c r="A82" s="94" t="s">
        <v>116</v>
      </c>
      <c r="B82" s="32"/>
      <c r="C82" s="47">
        <v>0</v>
      </c>
      <c r="D82" s="95"/>
      <c r="E82" s="4"/>
    </row>
    <row r="83" spans="1:6" x14ac:dyDescent="0.25">
      <c r="A83" s="94" t="s">
        <v>114</v>
      </c>
      <c r="B83" s="32"/>
      <c r="C83" s="71">
        <v>0</v>
      </c>
      <c r="D83" s="95"/>
      <c r="E83" s="4"/>
    </row>
    <row r="84" spans="1:6" x14ac:dyDescent="0.25">
      <c r="A84" s="94" t="s">
        <v>115</v>
      </c>
      <c r="B84" s="32"/>
      <c r="C84" s="47">
        <f>+C82-C83</f>
        <v>0</v>
      </c>
      <c r="D84" s="95">
        <f>+C84*0.26</f>
        <v>0</v>
      </c>
      <c r="E84" s="102">
        <v>0</v>
      </c>
    </row>
    <row r="85" spans="1:6" x14ac:dyDescent="0.25">
      <c r="A85" s="94"/>
      <c r="B85" s="32"/>
      <c r="C85" s="32"/>
      <c r="D85" s="95"/>
      <c r="E85" s="97"/>
    </row>
    <row r="86" spans="1:6" x14ac:dyDescent="0.25">
      <c r="A86" s="93" t="s">
        <v>111</v>
      </c>
      <c r="B86" s="32"/>
      <c r="C86" s="32"/>
      <c r="D86" s="95"/>
      <c r="E86" s="97"/>
    </row>
    <row r="87" spans="1:6" x14ac:dyDescent="0.25">
      <c r="A87" s="94" t="s">
        <v>112</v>
      </c>
      <c r="B87" s="32"/>
      <c r="C87" s="32"/>
      <c r="D87" s="95">
        <v>0</v>
      </c>
      <c r="E87" s="97">
        <v>0</v>
      </c>
    </row>
    <row r="88" spans="1:6" x14ac:dyDescent="0.25">
      <c r="A88" s="94"/>
      <c r="B88" s="32"/>
      <c r="C88" s="32"/>
      <c r="D88" s="95"/>
      <c r="E88" s="97"/>
    </row>
    <row r="89" spans="1:6" x14ac:dyDescent="0.25">
      <c r="A89" s="271" t="s">
        <v>16</v>
      </c>
      <c r="B89" s="272"/>
      <c r="C89" s="273"/>
      <c r="D89" s="96">
        <v>0</v>
      </c>
      <c r="E89" s="98">
        <v>0</v>
      </c>
    </row>
    <row r="92" spans="1:6" x14ac:dyDescent="0.25">
      <c r="A92" s="37" t="s">
        <v>128</v>
      </c>
      <c r="B92" s="36"/>
      <c r="C92" s="36"/>
      <c r="D92" s="36"/>
      <c r="E92" s="34"/>
      <c r="F92" s="34"/>
    </row>
    <row r="93" spans="1:6" ht="30" x14ac:dyDescent="0.25">
      <c r="A93" s="269" t="s">
        <v>0</v>
      </c>
      <c r="B93" s="270"/>
      <c r="C93" s="270"/>
      <c r="D93" s="99" t="s">
        <v>15</v>
      </c>
      <c r="E93" s="99" t="s">
        <v>15</v>
      </c>
    </row>
    <row r="94" spans="1:6" x14ac:dyDescent="0.25">
      <c r="A94" s="139"/>
      <c r="B94" s="140"/>
      <c r="C94" s="140"/>
      <c r="D94" s="148"/>
      <c r="E94" s="148"/>
    </row>
    <row r="95" spans="1:6" x14ac:dyDescent="0.25">
      <c r="A95" s="116" t="s">
        <v>117</v>
      </c>
      <c r="B95" s="32"/>
      <c r="C95" s="32"/>
      <c r="D95" s="100">
        <f>+[3]debtors!C55</f>
        <v>0</v>
      </c>
      <c r="E95" s="100">
        <f>+[3]debtors!D55</f>
        <v>0</v>
      </c>
    </row>
    <row r="96" spans="1:6" x14ac:dyDescent="0.25">
      <c r="A96" s="116" t="s">
        <v>118</v>
      </c>
      <c r="B96" s="117"/>
      <c r="C96" s="117"/>
      <c r="D96" s="100">
        <v>0</v>
      </c>
      <c r="E96" s="100">
        <v>0</v>
      </c>
    </row>
    <row r="97" spans="1:7" x14ac:dyDescent="0.25">
      <c r="A97" s="116"/>
      <c r="B97" s="117"/>
      <c r="C97" s="117"/>
      <c r="D97" s="100"/>
      <c r="E97" s="100"/>
    </row>
    <row r="98" spans="1:7" x14ac:dyDescent="0.25">
      <c r="A98" s="271" t="s">
        <v>16</v>
      </c>
      <c r="B98" s="272"/>
      <c r="C98" s="273"/>
      <c r="D98" s="96">
        <f>SUM(D95:D96)</f>
        <v>0</v>
      </c>
      <c r="E98" s="96">
        <f>SUM(E95:E96)</f>
        <v>0</v>
      </c>
    </row>
    <row r="101" spans="1:7" x14ac:dyDescent="0.25">
      <c r="A101" s="52" t="s">
        <v>129</v>
      </c>
      <c r="B101" s="53"/>
      <c r="C101" s="53"/>
      <c r="D101" s="53"/>
      <c r="E101" s="53"/>
      <c r="F101" s="82"/>
      <c r="G101" s="82"/>
    </row>
    <row r="102" spans="1:7" ht="30" x14ac:dyDescent="0.25">
      <c r="A102" s="284" t="s">
        <v>0</v>
      </c>
      <c r="B102" s="284"/>
      <c r="C102" s="284"/>
      <c r="D102" s="54" t="s">
        <v>1</v>
      </c>
      <c r="E102" s="54" t="s">
        <v>2</v>
      </c>
    </row>
    <row r="103" spans="1:7" x14ac:dyDescent="0.25">
      <c r="A103" s="75"/>
      <c r="B103" s="56"/>
      <c r="C103" s="56"/>
      <c r="D103" s="76"/>
      <c r="E103" s="77"/>
    </row>
    <row r="104" spans="1:7" x14ac:dyDescent="0.25">
      <c r="A104" s="75" t="s">
        <v>119</v>
      </c>
      <c r="B104" s="78"/>
      <c r="C104" s="56"/>
      <c r="D104" s="79">
        <v>0</v>
      </c>
      <c r="E104" s="80">
        <v>0</v>
      </c>
    </row>
    <row r="105" spans="1:7" x14ac:dyDescent="0.25">
      <c r="A105" s="75" t="s">
        <v>252</v>
      </c>
      <c r="B105" s="78"/>
      <c r="C105" s="56"/>
      <c r="D105" s="79">
        <v>0</v>
      </c>
      <c r="E105" s="80">
        <v>0</v>
      </c>
    </row>
    <row r="106" spans="1:7" x14ac:dyDescent="0.25">
      <c r="A106" s="55"/>
      <c r="B106" s="78"/>
      <c r="C106" s="56"/>
      <c r="D106" s="81"/>
      <c r="E106" s="68"/>
    </row>
    <row r="107" spans="1:7" x14ac:dyDescent="0.25">
      <c r="A107" s="274" t="s">
        <v>16</v>
      </c>
      <c r="B107" s="275"/>
      <c r="C107" s="276"/>
      <c r="D107" s="70">
        <f>SUM(D103:D106)</f>
        <v>0</v>
      </c>
      <c r="E107" s="70">
        <f>SUM(E104:E106)</f>
        <v>0</v>
      </c>
    </row>
    <row r="110" spans="1:7" x14ac:dyDescent="0.25">
      <c r="A110" s="52" t="s">
        <v>125</v>
      </c>
      <c r="B110" s="53"/>
      <c r="C110" s="53"/>
      <c r="D110" s="53"/>
      <c r="E110" s="53"/>
      <c r="F110" s="82"/>
      <c r="G110" s="82"/>
    </row>
    <row r="111" spans="1:7" ht="30" x14ac:dyDescent="0.25">
      <c r="A111" s="277" t="s">
        <v>0</v>
      </c>
      <c r="B111" s="278"/>
      <c r="C111" s="279"/>
      <c r="D111" s="54" t="s">
        <v>1</v>
      </c>
      <c r="E111" s="54" t="s">
        <v>2</v>
      </c>
    </row>
    <row r="112" spans="1:7" x14ac:dyDescent="0.25">
      <c r="A112" s="141"/>
      <c r="B112" s="142"/>
      <c r="C112" s="142"/>
      <c r="D112" s="67"/>
      <c r="E112" s="67"/>
    </row>
    <row r="113" spans="1:6" x14ac:dyDescent="0.25">
      <c r="A113" s="59" t="s">
        <v>4</v>
      </c>
      <c r="B113" s="66"/>
      <c r="C113" s="66"/>
      <c r="D113" s="67"/>
      <c r="E113" s="67"/>
    </row>
    <row r="114" spans="1:6" x14ac:dyDescent="0.25">
      <c r="A114" s="58" t="s">
        <v>251</v>
      </c>
      <c r="B114" s="66"/>
      <c r="C114" s="66"/>
      <c r="D114" s="92">
        <v>0</v>
      </c>
      <c r="E114" s="92">
        <v>0</v>
      </c>
    </row>
    <row r="115" spans="1:6" x14ac:dyDescent="0.25">
      <c r="A115" s="58"/>
      <c r="B115" s="66"/>
      <c r="C115" s="66"/>
      <c r="D115" s="67"/>
      <c r="E115" s="67"/>
    </row>
    <row r="116" spans="1:6" x14ac:dyDescent="0.25">
      <c r="A116" s="59" t="s">
        <v>3</v>
      </c>
      <c r="B116" s="56"/>
      <c r="C116" s="56"/>
      <c r="D116" s="68"/>
      <c r="E116" s="68"/>
    </row>
    <row r="117" spans="1:6" x14ac:dyDescent="0.25">
      <c r="A117" s="58" t="s">
        <v>13</v>
      </c>
      <c r="C117" s="56"/>
      <c r="D117" s="69">
        <v>0</v>
      </c>
      <c r="E117" s="69">
        <v>0</v>
      </c>
    </row>
    <row r="118" spans="1:6" x14ac:dyDescent="0.25">
      <c r="A118" s="58"/>
      <c r="C118" s="56"/>
      <c r="D118" s="69">
        <v>0</v>
      </c>
      <c r="E118" s="69">
        <v>0</v>
      </c>
    </row>
    <row r="119" spans="1:6" x14ac:dyDescent="0.25">
      <c r="A119" s="58"/>
      <c r="C119" s="56"/>
      <c r="D119" s="69"/>
      <c r="E119" s="69"/>
    </row>
    <row r="120" spans="1:6" x14ac:dyDescent="0.25">
      <c r="A120" s="58" t="s">
        <v>12</v>
      </c>
      <c r="C120" s="56"/>
      <c r="D120" s="69">
        <v>0</v>
      </c>
      <c r="E120" s="69">
        <v>0</v>
      </c>
    </row>
    <row r="121" spans="1:6" x14ac:dyDescent="0.25">
      <c r="A121" s="58"/>
      <c r="C121" s="56"/>
      <c r="D121" s="69"/>
      <c r="E121" s="69"/>
    </row>
    <row r="122" spans="1:6" x14ac:dyDescent="0.25">
      <c r="A122" s="58" t="s">
        <v>254</v>
      </c>
      <c r="C122" s="56"/>
      <c r="D122" s="69"/>
      <c r="E122" s="69"/>
    </row>
    <row r="123" spans="1:6" x14ac:dyDescent="0.25">
      <c r="A123" s="58"/>
      <c r="C123" s="56"/>
      <c r="D123" s="69"/>
      <c r="E123" s="69"/>
    </row>
    <row r="124" spans="1:6" x14ac:dyDescent="0.25">
      <c r="A124" s="274" t="s">
        <v>16</v>
      </c>
      <c r="B124" s="275"/>
      <c r="C124" s="276"/>
      <c r="D124" s="70">
        <f>SUM(D116:D117)</f>
        <v>0</v>
      </c>
      <c r="E124" s="70">
        <f>SUM(E117:E117)</f>
        <v>0</v>
      </c>
    </row>
    <row r="127" spans="1:6" x14ac:dyDescent="0.25">
      <c r="A127" s="37" t="s">
        <v>130</v>
      </c>
      <c r="B127" s="36"/>
      <c r="C127" s="36"/>
      <c r="D127" s="36"/>
      <c r="E127" s="34"/>
      <c r="F127" s="34"/>
    </row>
    <row r="128" spans="1:6" ht="30" x14ac:dyDescent="0.25">
      <c r="A128" s="269" t="s">
        <v>0</v>
      </c>
      <c r="B128" s="270"/>
      <c r="C128" s="270"/>
      <c r="D128" s="99" t="s">
        <v>124</v>
      </c>
      <c r="E128" s="99" t="s">
        <v>15</v>
      </c>
    </row>
    <row r="129" spans="1:5" x14ac:dyDescent="0.25">
      <c r="A129" s="139"/>
      <c r="B129" s="140"/>
      <c r="C129" s="140"/>
      <c r="D129" s="148"/>
      <c r="E129" s="148"/>
    </row>
    <row r="130" spans="1:5" x14ac:dyDescent="0.25">
      <c r="A130" s="116" t="s">
        <v>132</v>
      </c>
      <c r="B130" s="32"/>
      <c r="C130" s="32"/>
      <c r="D130" s="114">
        <v>0</v>
      </c>
      <c r="E130" s="114">
        <v>0</v>
      </c>
    </row>
    <row r="131" spans="1:5" x14ac:dyDescent="0.25">
      <c r="A131" s="8"/>
      <c r="B131" s="117"/>
      <c r="C131" s="117"/>
      <c r="D131" s="100"/>
      <c r="E131" s="100"/>
    </row>
    <row r="132" spans="1:5" x14ac:dyDescent="0.25">
      <c r="A132" s="94" t="s">
        <v>133</v>
      </c>
      <c r="B132" s="117"/>
      <c r="C132" s="117"/>
      <c r="D132" s="100">
        <v>0</v>
      </c>
      <c r="E132" s="100">
        <v>0</v>
      </c>
    </row>
    <row r="133" spans="1:5" x14ac:dyDescent="0.25">
      <c r="A133" s="94"/>
      <c r="B133" s="117"/>
      <c r="C133" s="117"/>
      <c r="D133" s="100"/>
      <c r="E133" s="100"/>
    </row>
    <row r="134" spans="1:5" x14ac:dyDescent="0.25">
      <c r="A134" s="271" t="s">
        <v>16</v>
      </c>
      <c r="B134" s="272"/>
      <c r="C134" s="273"/>
      <c r="D134" s="96">
        <f>SUM(D130:D131)</f>
        <v>0</v>
      </c>
      <c r="E134" s="96">
        <f>SUM(E130:E131)</f>
        <v>0</v>
      </c>
    </row>
    <row r="136" spans="1:5" x14ac:dyDescent="0.25">
      <c r="A136" s="170" t="s">
        <v>308</v>
      </c>
      <c r="B136" s="171"/>
      <c r="C136" s="171"/>
      <c r="D136" s="171"/>
      <c r="E136" s="171"/>
    </row>
    <row r="137" spans="1:5" x14ac:dyDescent="0.25">
      <c r="A137" s="280" t="s">
        <v>0</v>
      </c>
      <c r="B137" s="281" t="s">
        <v>303</v>
      </c>
      <c r="C137" s="282"/>
      <c r="D137" s="282"/>
      <c r="E137" s="267" t="s">
        <v>16</v>
      </c>
    </row>
    <row r="138" spans="1:5" x14ac:dyDescent="0.25">
      <c r="A138" s="280"/>
      <c r="B138" s="175" t="s">
        <v>300</v>
      </c>
      <c r="C138" s="175" t="s">
        <v>301</v>
      </c>
      <c r="D138" s="175" t="s">
        <v>302</v>
      </c>
      <c r="E138" s="268"/>
    </row>
    <row r="139" spans="1:5" x14ac:dyDescent="0.25">
      <c r="A139" s="174" t="s">
        <v>304</v>
      </c>
      <c r="B139" s="174"/>
      <c r="C139" s="174"/>
      <c r="D139" s="174"/>
      <c r="E139" s="174"/>
    </row>
    <row r="140" spans="1:5" x14ac:dyDescent="0.25">
      <c r="A140" s="174" t="s">
        <v>305</v>
      </c>
      <c r="B140" s="174"/>
      <c r="C140" s="174"/>
      <c r="D140" s="174"/>
      <c r="E140" s="174"/>
    </row>
    <row r="141" spans="1:5" x14ac:dyDescent="0.25">
      <c r="A141" s="174" t="s">
        <v>306</v>
      </c>
      <c r="B141" s="174"/>
      <c r="C141" s="174"/>
      <c r="D141" s="174"/>
      <c r="E141" s="174"/>
    </row>
    <row r="142" spans="1:5" x14ac:dyDescent="0.25">
      <c r="A142" s="174" t="s">
        <v>307</v>
      </c>
      <c r="B142" s="174"/>
      <c r="C142" s="174"/>
      <c r="D142" s="174"/>
      <c r="E142" s="174"/>
    </row>
    <row r="145" spans="1:7" x14ac:dyDescent="0.25">
      <c r="A145" s="37" t="s">
        <v>134</v>
      </c>
      <c r="B145" s="36"/>
      <c r="C145" s="36"/>
      <c r="D145" s="36"/>
      <c r="E145" s="34"/>
      <c r="F145" s="34"/>
    </row>
    <row r="146" spans="1:7" ht="30" x14ac:dyDescent="0.25">
      <c r="A146" s="269" t="s">
        <v>0</v>
      </c>
      <c r="B146" s="270"/>
      <c r="C146" s="270"/>
      <c r="D146" s="99" t="s">
        <v>124</v>
      </c>
      <c r="E146" s="99" t="s">
        <v>15</v>
      </c>
    </row>
    <row r="147" spans="1:7" x14ac:dyDescent="0.25">
      <c r="A147" s="139"/>
      <c r="B147" s="140"/>
      <c r="C147" s="140"/>
      <c r="D147" s="148"/>
      <c r="E147" s="148"/>
    </row>
    <row r="148" spans="1:7" x14ac:dyDescent="0.25">
      <c r="A148" s="116" t="s">
        <v>253</v>
      </c>
      <c r="B148" s="32"/>
      <c r="C148" s="32"/>
      <c r="D148" s="100">
        <f>+[3]debtors!B90</f>
        <v>0</v>
      </c>
      <c r="E148" s="100">
        <f>+[3]debtors!C90</f>
        <v>0</v>
      </c>
    </row>
    <row r="149" spans="1:7" x14ac:dyDescent="0.25">
      <c r="A149" s="116" t="s">
        <v>387</v>
      </c>
      <c r="B149" s="32"/>
      <c r="C149" s="32"/>
      <c r="D149" s="100"/>
      <c r="E149" s="100"/>
    </row>
    <row r="150" spans="1:7" x14ac:dyDescent="0.25">
      <c r="A150" s="116" t="s">
        <v>255</v>
      </c>
      <c r="B150" s="32"/>
      <c r="C150" s="32"/>
      <c r="D150" s="100"/>
      <c r="E150" s="100"/>
    </row>
    <row r="151" spans="1:7" x14ac:dyDescent="0.25">
      <c r="A151" s="116" t="s">
        <v>388</v>
      </c>
      <c r="B151" s="32"/>
      <c r="C151" s="32"/>
      <c r="D151" s="100"/>
      <c r="E151" s="100"/>
    </row>
    <row r="152" spans="1:7" x14ac:dyDescent="0.25">
      <c r="A152" s="116" t="s">
        <v>256</v>
      </c>
      <c r="B152" s="32"/>
      <c r="C152" s="32"/>
      <c r="D152" s="100"/>
      <c r="E152" s="100"/>
    </row>
    <row r="153" spans="1:7" x14ac:dyDescent="0.25">
      <c r="A153" s="116" t="s">
        <v>257</v>
      </c>
      <c r="B153" s="32"/>
      <c r="C153" s="32"/>
      <c r="D153" s="100"/>
      <c r="E153" s="100"/>
    </row>
    <row r="154" spans="1:7" x14ac:dyDescent="0.25">
      <c r="A154" s="116"/>
      <c r="B154" s="32"/>
      <c r="C154" s="32"/>
      <c r="D154" s="100"/>
      <c r="E154" s="100"/>
    </row>
    <row r="155" spans="1:7" x14ac:dyDescent="0.25">
      <c r="A155" s="271" t="s">
        <v>16</v>
      </c>
      <c r="B155" s="272"/>
      <c r="C155" s="273"/>
      <c r="D155" s="96">
        <f>SUM(D148:D154)</f>
        <v>0</v>
      </c>
      <c r="E155" s="96">
        <f>SUM(E148:E154)</f>
        <v>0</v>
      </c>
    </row>
    <row r="158" spans="1:7" x14ac:dyDescent="0.25">
      <c r="A158" s="52" t="s">
        <v>131</v>
      </c>
      <c r="B158" s="53"/>
      <c r="C158" s="53"/>
      <c r="D158" s="53"/>
      <c r="E158" s="53"/>
      <c r="F158" s="82"/>
      <c r="G158" s="82"/>
    </row>
    <row r="159" spans="1:7" ht="30" x14ac:dyDescent="0.25">
      <c r="A159" s="64" t="s">
        <v>0</v>
      </c>
      <c r="B159" s="65"/>
      <c r="C159" s="65"/>
      <c r="D159" s="73" t="s">
        <v>1</v>
      </c>
      <c r="E159" s="74" t="s">
        <v>2</v>
      </c>
    </row>
    <row r="160" spans="1:7" x14ac:dyDescent="0.25">
      <c r="A160" s="75"/>
      <c r="B160" s="56"/>
      <c r="C160" s="56"/>
      <c r="D160" s="76"/>
      <c r="E160" s="77"/>
    </row>
    <row r="161" spans="1:5" x14ac:dyDescent="0.25">
      <c r="A161" s="58" t="s">
        <v>136</v>
      </c>
      <c r="C161" s="56"/>
      <c r="D161" s="101">
        <v>0</v>
      </c>
      <c r="E161" s="69">
        <v>0</v>
      </c>
    </row>
    <row r="162" spans="1:5" x14ac:dyDescent="0.25">
      <c r="A162" s="75" t="s">
        <v>258</v>
      </c>
      <c r="B162" s="78"/>
      <c r="C162" s="56"/>
      <c r="D162" s="79">
        <v>0</v>
      </c>
      <c r="E162" s="80">
        <v>0</v>
      </c>
    </row>
    <row r="163" spans="1:5" x14ac:dyDescent="0.25">
      <c r="A163" s="75" t="s">
        <v>135</v>
      </c>
      <c r="B163" s="78"/>
      <c r="C163" s="56"/>
      <c r="D163" s="79">
        <v>0</v>
      </c>
      <c r="E163" s="80">
        <v>0</v>
      </c>
    </row>
    <row r="164" spans="1:5" x14ac:dyDescent="0.25">
      <c r="A164" s="55"/>
      <c r="B164" s="78"/>
      <c r="C164" s="56"/>
      <c r="D164" s="81"/>
      <c r="E164" s="68"/>
    </row>
    <row r="165" spans="1:5" x14ac:dyDescent="0.25">
      <c r="A165" s="274" t="s">
        <v>16</v>
      </c>
      <c r="B165" s="275"/>
      <c r="C165" s="276"/>
      <c r="D165" s="70">
        <f>SUM(D160:D164)</f>
        <v>0</v>
      </c>
      <c r="E165" s="70">
        <f>SUM(E161:E164)</f>
        <v>0</v>
      </c>
    </row>
  </sheetData>
  <mergeCells count="36">
    <mergeCell ref="A5:E5"/>
    <mergeCell ref="A1:E1"/>
    <mergeCell ref="A64:C64"/>
    <mergeCell ref="A79:C79"/>
    <mergeCell ref="A93:C93"/>
    <mergeCell ref="A3:E3"/>
    <mergeCell ref="B22:C22"/>
    <mergeCell ref="D22:E22"/>
    <mergeCell ref="A22:A23"/>
    <mergeCell ref="A31:A32"/>
    <mergeCell ref="B31:C31"/>
    <mergeCell ref="D9:E9"/>
    <mergeCell ref="B9:C9"/>
    <mergeCell ref="A60:C60"/>
    <mergeCell ref="A107:C107"/>
    <mergeCell ref="D31:E31"/>
    <mergeCell ref="A102:C102"/>
    <mergeCell ref="A98:C98"/>
    <mergeCell ref="A89:C89"/>
    <mergeCell ref="A75:C75"/>
    <mergeCell ref="A42:E42"/>
    <mergeCell ref="A46:C46"/>
    <mergeCell ref="D38:E38"/>
    <mergeCell ref="D39:E39"/>
    <mergeCell ref="D40:E40"/>
    <mergeCell ref="B37:E37"/>
    <mergeCell ref="E137:E138"/>
    <mergeCell ref="A146:C146"/>
    <mergeCell ref="A155:C155"/>
    <mergeCell ref="A165:C165"/>
    <mergeCell ref="A111:C111"/>
    <mergeCell ref="A124:C124"/>
    <mergeCell ref="A128:C128"/>
    <mergeCell ref="A134:C134"/>
    <mergeCell ref="A137:A138"/>
    <mergeCell ref="B137:D137"/>
  </mergeCells>
  <pageMargins left="0.7" right="0.3" top="0.75" bottom="0.75" header="0.3" footer="0.3"/>
  <pageSetup scale="66" orientation="portrait" r:id="rId1"/>
  <rowBreaks count="2" manualBreakCount="2">
    <brk id="60" max="16383" man="1"/>
    <brk id="107" max="16383" man="1"/>
  </rowBreaks>
  <ignoredErrors>
    <ignoredError sqref="C25:C26 E24:E27" unlockedFormula="1"/>
    <ignoredError sqref="D134:E134"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6"/>
  <sheetViews>
    <sheetView view="pageBreakPreview" zoomScaleNormal="100" zoomScaleSheetLayoutView="100" workbookViewId="0">
      <selection sqref="A1:M1"/>
    </sheetView>
  </sheetViews>
  <sheetFormatPr defaultColWidth="9.140625" defaultRowHeight="15" x14ac:dyDescent="0.25"/>
  <cols>
    <col min="1" max="1" width="3.5703125" style="1" bestFit="1" customWidth="1"/>
    <col min="2" max="2" width="30" style="1" bestFit="1" customWidth="1"/>
    <col min="3" max="3" width="20.7109375" style="1" bestFit="1" customWidth="1"/>
    <col min="4" max="4" width="23.85546875" style="1" bestFit="1" customWidth="1"/>
    <col min="5" max="5" width="12.28515625" style="1" bestFit="1" customWidth="1"/>
    <col min="6" max="6" width="16.85546875" style="1" bestFit="1" customWidth="1"/>
    <col min="7" max="7" width="30.28515625" style="1" bestFit="1" customWidth="1"/>
    <col min="8" max="8" width="23.7109375" style="1" bestFit="1" customWidth="1"/>
    <col min="9" max="9" width="12.28515625" style="1" bestFit="1" customWidth="1"/>
    <col min="10" max="10" width="12.42578125" style="1" bestFit="1" customWidth="1"/>
    <col min="11" max="11" width="13.5703125" style="1" bestFit="1" customWidth="1"/>
    <col min="12" max="12" width="9" style="1" bestFit="1" customWidth="1"/>
    <col min="13" max="13" width="13.5703125" style="1" bestFit="1" customWidth="1"/>
    <col min="14" max="16384" width="9.140625" style="1"/>
  </cols>
  <sheetData>
    <row r="1" spans="1:13" x14ac:dyDescent="0.25">
      <c r="A1" s="307" t="s">
        <v>280</v>
      </c>
      <c r="B1" s="307"/>
      <c r="C1" s="307"/>
      <c r="D1" s="307"/>
      <c r="E1" s="307"/>
      <c r="F1" s="307"/>
      <c r="G1" s="307"/>
      <c r="H1" s="307"/>
      <c r="I1" s="307"/>
      <c r="J1" s="307"/>
      <c r="K1" s="307"/>
      <c r="L1" s="307"/>
      <c r="M1" s="307"/>
    </row>
    <row r="2" spans="1:13" x14ac:dyDescent="0.25">
      <c r="A2" s="308" t="s">
        <v>317</v>
      </c>
      <c r="B2" s="308"/>
      <c r="C2" s="308"/>
      <c r="D2" s="308"/>
      <c r="E2" s="308"/>
      <c r="F2" s="308"/>
      <c r="G2" s="308"/>
      <c r="H2" s="308"/>
      <c r="I2" s="308"/>
      <c r="J2" s="308"/>
      <c r="K2" s="308"/>
      <c r="L2" s="308"/>
      <c r="M2" s="308"/>
    </row>
    <row r="3" spans="1:13" x14ac:dyDescent="0.25">
      <c r="A3" s="310" t="s">
        <v>137</v>
      </c>
      <c r="B3" s="310"/>
      <c r="C3" s="311" t="s">
        <v>139</v>
      </c>
      <c r="D3" s="311"/>
      <c r="E3" s="311"/>
      <c r="F3" s="311"/>
      <c r="G3" s="311" t="s">
        <v>140</v>
      </c>
      <c r="H3" s="311"/>
      <c r="I3" s="311"/>
      <c r="J3" s="311"/>
      <c r="K3" s="311"/>
      <c r="L3" s="311" t="s">
        <v>141</v>
      </c>
      <c r="M3" s="311"/>
    </row>
    <row r="4" spans="1:13" x14ac:dyDescent="0.25">
      <c r="A4" s="310"/>
      <c r="B4" s="310"/>
      <c r="C4" s="309" t="s">
        <v>147</v>
      </c>
      <c r="D4" s="309" t="s">
        <v>142</v>
      </c>
      <c r="E4" s="309" t="s">
        <v>143</v>
      </c>
      <c r="F4" s="309" t="s">
        <v>159</v>
      </c>
      <c r="G4" s="309" t="s">
        <v>144</v>
      </c>
      <c r="H4" s="309" t="s">
        <v>145</v>
      </c>
      <c r="I4" s="309" t="s">
        <v>143</v>
      </c>
      <c r="J4" s="309" t="s">
        <v>146</v>
      </c>
      <c r="K4" s="309" t="s">
        <v>148</v>
      </c>
      <c r="L4" s="309" t="s">
        <v>161</v>
      </c>
      <c r="M4" s="309" t="s">
        <v>160</v>
      </c>
    </row>
    <row r="5" spans="1:13" ht="21" customHeight="1" x14ac:dyDescent="0.25">
      <c r="A5" s="310"/>
      <c r="B5" s="310"/>
      <c r="C5" s="309"/>
      <c r="D5" s="309"/>
      <c r="E5" s="309"/>
      <c r="F5" s="309"/>
      <c r="G5" s="309"/>
      <c r="H5" s="309"/>
      <c r="I5" s="309"/>
      <c r="J5" s="309"/>
      <c r="K5" s="309"/>
      <c r="L5" s="309"/>
      <c r="M5" s="309"/>
    </row>
    <row r="6" spans="1:13" ht="29.25" customHeight="1" x14ac:dyDescent="0.25">
      <c r="A6" s="310"/>
      <c r="B6" s="310"/>
      <c r="C6" s="309"/>
      <c r="D6" s="309"/>
      <c r="E6" s="309"/>
      <c r="F6" s="309"/>
      <c r="G6" s="309"/>
      <c r="H6" s="309"/>
      <c r="I6" s="309"/>
      <c r="J6" s="309"/>
      <c r="K6" s="309"/>
      <c r="L6" s="309"/>
      <c r="M6" s="309"/>
    </row>
    <row r="7" spans="1:13" x14ac:dyDescent="0.25">
      <c r="A7" s="8"/>
      <c r="M7" s="24"/>
    </row>
    <row r="8" spans="1:13" x14ac:dyDescent="0.25">
      <c r="A8" s="119" t="s">
        <v>155</v>
      </c>
      <c r="B8" s="164" t="s">
        <v>281</v>
      </c>
      <c r="C8" s="118"/>
      <c r="D8" s="118"/>
      <c r="E8" s="118"/>
      <c r="F8" s="118"/>
      <c r="G8" s="118"/>
      <c r="H8" s="118"/>
      <c r="I8" s="118"/>
      <c r="J8" s="118"/>
      <c r="K8" s="118"/>
      <c r="L8" s="118"/>
      <c r="M8" s="120"/>
    </row>
    <row r="9" spans="1:13" x14ac:dyDescent="0.25">
      <c r="A9" s="8"/>
      <c r="B9" s="1" t="s">
        <v>149</v>
      </c>
      <c r="C9" s="121">
        <v>0</v>
      </c>
      <c r="D9" s="121">
        <v>0</v>
      </c>
      <c r="E9" s="121">
        <v>0</v>
      </c>
      <c r="F9" s="121">
        <f>+C9+D9-E9</f>
        <v>0</v>
      </c>
      <c r="G9" s="121">
        <v>0</v>
      </c>
      <c r="H9" s="121">
        <v>0</v>
      </c>
      <c r="I9" s="121">
        <v>0</v>
      </c>
      <c r="J9" s="121">
        <v>0</v>
      </c>
      <c r="K9" s="121">
        <f>+SUM(G9:J9)</f>
        <v>0</v>
      </c>
      <c r="L9" s="121">
        <f>+F9-K9</f>
        <v>0</v>
      </c>
      <c r="M9" s="122">
        <v>0</v>
      </c>
    </row>
    <row r="10" spans="1:13" x14ac:dyDescent="0.25">
      <c r="A10" s="8"/>
      <c r="B10" s="1" t="s">
        <v>150</v>
      </c>
      <c r="C10" s="121">
        <v>0</v>
      </c>
      <c r="D10" s="121">
        <v>0</v>
      </c>
      <c r="E10" s="121">
        <v>0</v>
      </c>
      <c r="F10" s="121">
        <f t="shared" ref="F10:F14" si="0">+C10+D10-E10</f>
        <v>0</v>
      </c>
      <c r="G10" s="121">
        <v>0</v>
      </c>
      <c r="H10" s="121">
        <v>0</v>
      </c>
      <c r="I10" s="121">
        <v>0</v>
      </c>
      <c r="J10" s="121">
        <v>0</v>
      </c>
      <c r="K10" s="121">
        <f t="shared" ref="K10:K14" si="1">+SUM(G10:J10)</f>
        <v>0</v>
      </c>
      <c r="L10" s="121">
        <f t="shared" ref="L10:L14" si="2">+F10-K10</f>
        <v>0</v>
      </c>
      <c r="M10" s="122">
        <v>0</v>
      </c>
    </row>
    <row r="11" spans="1:13" x14ac:dyDescent="0.25">
      <c r="A11" s="8"/>
      <c r="B11" s="1" t="s">
        <v>151</v>
      </c>
      <c r="C11" s="121">
        <v>0</v>
      </c>
      <c r="D11" s="121">
        <v>0</v>
      </c>
      <c r="E11" s="121">
        <v>0</v>
      </c>
      <c r="F11" s="121">
        <f t="shared" si="0"/>
        <v>0</v>
      </c>
      <c r="G11" s="121">
        <v>0</v>
      </c>
      <c r="H11" s="121">
        <v>0</v>
      </c>
      <c r="I11" s="121">
        <v>0</v>
      </c>
      <c r="J11" s="121">
        <v>0</v>
      </c>
      <c r="K11" s="121">
        <f t="shared" si="1"/>
        <v>0</v>
      </c>
      <c r="L11" s="121">
        <f t="shared" si="2"/>
        <v>0</v>
      </c>
      <c r="M11" s="122">
        <v>0</v>
      </c>
    </row>
    <row r="12" spans="1:13" x14ac:dyDescent="0.25">
      <c r="A12" s="8"/>
      <c r="B12" s="1" t="s">
        <v>152</v>
      </c>
      <c r="C12" s="121">
        <v>0</v>
      </c>
      <c r="D12" s="121">
        <v>0</v>
      </c>
      <c r="E12" s="121">
        <v>0</v>
      </c>
      <c r="F12" s="121">
        <f t="shared" si="0"/>
        <v>0</v>
      </c>
      <c r="G12" s="121">
        <v>0</v>
      </c>
      <c r="H12" s="121">
        <v>0</v>
      </c>
      <c r="I12" s="121">
        <v>0</v>
      </c>
      <c r="J12" s="121">
        <v>0</v>
      </c>
      <c r="K12" s="121">
        <f t="shared" si="1"/>
        <v>0</v>
      </c>
      <c r="L12" s="121">
        <f t="shared" si="2"/>
        <v>0</v>
      </c>
      <c r="M12" s="122">
        <v>0</v>
      </c>
    </row>
    <row r="13" spans="1:13" x14ac:dyDescent="0.25">
      <c r="A13" s="8"/>
      <c r="B13" s="1" t="s">
        <v>153</v>
      </c>
      <c r="C13" s="121">
        <v>0</v>
      </c>
      <c r="D13" s="121">
        <v>0</v>
      </c>
      <c r="E13" s="121">
        <v>0</v>
      </c>
      <c r="F13" s="121">
        <f t="shared" si="0"/>
        <v>0</v>
      </c>
      <c r="G13" s="121">
        <v>0</v>
      </c>
      <c r="H13" s="121">
        <v>0</v>
      </c>
      <c r="I13" s="121">
        <v>0</v>
      </c>
      <c r="J13" s="121">
        <v>0</v>
      </c>
      <c r="K13" s="121">
        <f t="shared" si="1"/>
        <v>0</v>
      </c>
      <c r="L13" s="121">
        <f t="shared" si="2"/>
        <v>0</v>
      </c>
      <c r="M13" s="122">
        <v>0</v>
      </c>
    </row>
    <row r="14" spans="1:13" x14ac:dyDescent="0.25">
      <c r="A14" s="8"/>
      <c r="B14" s="1" t="s">
        <v>154</v>
      </c>
      <c r="C14" s="121">
        <v>0</v>
      </c>
      <c r="D14" s="121">
        <v>0</v>
      </c>
      <c r="E14" s="121">
        <v>0</v>
      </c>
      <c r="F14" s="121">
        <f t="shared" si="0"/>
        <v>0</v>
      </c>
      <c r="G14" s="121">
        <v>0</v>
      </c>
      <c r="H14" s="121">
        <v>0</v>
      </c>
      <c r="I14" s="121">
        <v>0</v>
      </c>
      <c r="J14" s="121">
        <v>0</v>
      </c>
      <c r="K14" s="121">
        <f t="shared" si="1"/>
        <v>0</v>
      </c>
      <c r="L14" s="121">
        <f t="shared" si="2"/>
        <v>0</v>
      </c>
      <c r="M14" s="122">
        <v>0</v>
      </c>
    </row>
    <row r="15" spans="1:13" x14ac:dyDescent="0.25">
      <c r="A15" s="8"/>
      <c r="C15" s="121"/>
      <c r="D15" s="121"/>
      <c r="E15" s="121"/>
      <c r="F15" s="121"/>
      <c r="G15" s="121"/>
      <c r="H15" s="121"/>
      <c r="I15" s="121"/>
      <c r="J15" s="121"/>
      <c r="K15" s="121"/>
      <c r="L15" s="121"/>
      <c r="M15" s="122"/>
    </row>
    <row r="16" spans="1:13" x14ac:dyDescent="0.25">
      <c r="A16" s="8" t="s">
        <v>156</v>
      </c>
      <c r="B16" s="3" t="s">
        <v>157</v>
      </c>
      <c r="C16" s="121"/>
      <c r="D16" s="121"/>
      <c r="E16" s="121"/>
      <c r="F16" s="121"/>
      <c r="G16" s="121"/>
      <c r="H16" s="121"/>
      <c r="I16" s="121"/>
      <c r="J16" s="121"/>
      <c r="K16" s="121"/>
      <c r="L16" s="121"/>
      <c r="M16" s="122"/>
    </row>
    <row r="17" spans="1:13" x14ac:dyDescent="0.25">
      <c r="A17" s="8"/>
      <c r="B17" s="1" t="s">
        <v>158</v>
      </c>
      <c r="C17" s="121">
        <v>0</v>
      </c>
      <c r="D17" s="121">
        <v>0</v>
      </c>
      <c r="E17" s="121">
        <v>0</v>
      </c>
      <c r="F17" s="121">
        <v>0</v>
      </c>
      <c r="G17" s="121">
        <v>0</v>
      </c>
      <c r="H17" s="121">
        <v>0</v>
      </c>
      <c r="I17" s="121">
        <v>0</v>
      </c>
      <c r="J17" s="121">
        <v>0</v>
      </c>
      <c r="K17" s="121">
        <v>0</v>
      </c>
      <c r="L17" s="121">
        <v>0</v>
      </c>
      <c r="M17" s="122">
        <v>0</v>
      </c>
    </row>
    <row r="18" spans="1:13" x14ac:dyDescent="0.25">
      <c r="A18" s="8"/>
      <c r="C18" s="121"/>
      <c r="D18" s="121"/>
      <c r="E18" s="121"/>
      <c r="F18" s="121"/>
      <c r="G18" s="121"/>
      <c r="H18" s="121"/>
      <c r="I18" s="121"/>
      <c r="J18" s="121"/>
      <c r="K18" s="121"/>
      <c r="L18" s="121"/>
      <c r="M18" s="122"/>
    </row>
    <row r="19" spans="1:13" x14ac:dyDescent="0.25">
      <c r="A19" s="165" t="s">
        <v>282</v>
      </c>
      <c r="B19" s="166" t="s">
        <v>283</v>
      </c>
      <c r="C19" s="121">
        <v>0</v>
      </c>
      <c r="D19" s="121">
        <v>0</v>
      </c>
      <c r="E19" s="121">
        <v>0</v>
      </c>
      <c r="F19" s="121">
        <v>0</v>
      </c>
      <c r="G19" s="121">
        <v>0</v>
      </c>
      <c r="H19" s="121">
        <v>0</v>
      </c>
      <c r="I19" s="121">
        <v>0</v>
      </c>
      <c r="J19" s="121">
        <v>0</v>
      </c>
      <c r="K19" s="121">
        <v>0</v>
      </c>
      <c r="L19" s="121">
        <v>0</v>
      </c>
      <c r="M19" s="122">
        <v>0</v>
      </c>
    </row>
    <row r="20" spans="1:13" x14ac:dyDescent="0.25">
      <c r="A20" s="8"/>
      <c r="C20" s="121"/>
      <c r="D20" s="121"/>
      <c r="E20" s="121"/>
      <c r="F20" s="121"/>
      <c r="G20" s="121"/>
      <c r="H20" s="121"/>
      <c r="I20" s="121"/>
      <c r="J20" s="121"/>
      <c r="K20" s="121"/>
      <c r="L20" s="121"/>
      <c r="M20" s="122"/>
    </row>
    <row r="21" spans="1:13" ht="30" x14ac:dyDescent="0.25">
      <c r="A21" s="165" t="s">
        <v>284</v>
      </c>
      <c r="B21" s="166" t="s">
        <v>285</v>
      </c>
      <c r="C21" s="121">
        <v>0</v>
      </c>
      <c r="D21" s="121">
        <v>0</v>
      </c>
      <c r="E21" s="121">
        <v>0</v>
      </c>
      <c r="F21" s="121">
        <v>0</v>
      </c>
      <c r="G21" s="121">
        <v>0</v>
      </c>
      <c r="H21" s="121">
        <v>0</v>
      </c>
      <c r="I21" s="121">
        <v>0</v>
      </c>
      <c r="J21" s="121">
        <v>0</v>
      </c>
      <c r="K21" s="121">
        <v>0</v>
      </c>
      <c r="L21" s="121">
        <v>0</v>
      </c>
      <c r="M21" s="122">
        <v>0</v>
      </c>
    </row>
    <row r="22" spans="1:13" x14ac:dyDescent="0.25">
      <c r="A22" s="8"/>
      <c r="C22" s="121"/>
      <c r="D22" s="121"/>
      <c r="E22" s="121"/>
      <c r="F22" s="121"/>
      <c r="G22" s="121"/>
      <c r="H22" s="121"/>
      <c r="I22" s="121"/>
      <c r="J22" s="121"/>
      <c r="K22" s="121"/>
      <c r="L22" s="121"/>
      <c r="M22" s="122"/>
    </row>
    <row r="23" spans="1:13" x14ac:dyDescent="0.25">
      <c r="A23" s="8"/>
      <c r="C23" s="121"/>
      <c r="D23" s="121"/>
      <c r="E23" s="121"/>
      <c r="F23" s="121"/>
      <c r="G23" s="121"/>
      <c r="H23" s="121"/>
      <c r="I23" s="121"/>
      <c r="J23" s="121"/>
      <c r="K23" s="121"/>
      <c r="L23" s="121"/>
      <c r="M23" s="122"/>
    </row>
    <row r="24" spans="1:13" x14ac:dyDescent="0.25">
      <c r="A24" s="13"/>
      <c r="B24" s="123" t="s">
        <v>27</v>
      </c>
      <c r="C24" s="124">
        <f>+SUM(C9:C17)</f>
        <v>0</v>
      </c>
      <c r="D24" s="124">
        <f t="shared" ref="D24:M24" si="3">+SUM(D9:D17)</f>
        <v>0</v>
      </c>
      <c r="E24" s="124">
        <f t="shared" si="3"/>
        <v>0</v>
      </c>
      <c r="F24" s="124">
        <f t="shared" si="3"/>
        <v>0</v>
      </c>
      <c r="G24" s="124">
        <f t="shared" si="3"/>
        <v>0</v>
      </c>
      <c r="H24" s="124">
        <f t="shared" si="3"/>
        <v>0</v>
      </c>
      <c r="I24" s="124">
        <f t="shared" si="3"/>
        <v>0</v>
      </c>
      <c r="J24" s="124">
        <f t="shared" si="3"/>
        <v>0</v>
      </c>
      <c r="K24" s="124">
        <f t="shared" si="3"/>
        <v>0</v>
      </c>
      <c r="L24" s="124">
        <f t="shared" si="3"/>
        <v>0</v>
      </c>
      <c r="M24" s="125">
        <f t="shared" si="3"/>
        <v>0</v>
      </c>
    </row>
    <row r="25" spans="1:13" x14ac:dyDescent="0.25">
      <c r="A25" s="9"/>
      <c r="B25" s="126" t="s">
        <v>138</v>
      </c>
      <c r="C25" s="127">
        <v>0</v>
      </c>
      <c r="D25" s="127">
        <v>0</v>
      </c>
      <c r="E25" s="127">
        <v>0</v>
      </c>
      <c r="F25" s="127">
        <v>0</v>
      </c>
      <c r="G25" s="127">
        <v>0</v>
      </c>
      <c r="H25" s="127">
        <v>0</v>
      </c>
      <c r="I25" s="127">
        <v>0</v>
      </c>
      <c r="J25" s="127">
        <v>0</v>
      </c>
      <c r="K25" s="127">
        <v>0</v>
      </c>
      <c r="L25" s="127">
        <v>0</v>
      </c>
      <c r="M25" s="128">
        <v>0</v>
      </c>
    </row>
    <row r="28" spans="1:13" x14ac:dyDescent="0.25">
      <c r="A28" s="301" t="s">
        <v>322</v>
      </c>
      <c r="B28" s="301"/>
      <c r="C28" s="301"/>
      <c r="D28" s="301"/>
      <c r="E28" s="301"/>
      <c r="F28" s="301"/>
    </row>
    <row r="29" spans="1:13" x14ac:dyDescent="0.25">
      <c r="A29" s="302" t="s">
        <v>318</v>
      </c>
      <c r="B29" s="302"/>
      <c r="C29" s="301" t="s">
        <v>320</v>
      </c>
      <c r="D29" s="301"/>
      <c r="E29" s="301"/>
      <c r="F29" s="301"/>
    </row>
    <row r="30" spans="1:13" x14ac:dyDescent="0.25">
      <c r="A30" s="302"/>
      <c r="B30" s="302"/>
      <c r="C30" s="167" t="s">
        <v>300</v>
      </c>
      <c r="D30" s="167" t="s">
        <v>301</v>
      </c>
      <c r="E30" s="167" t="s">
        <v>302</v>
      </c>
      <c r="F30" s="167" t="s">
        <v>16</v>
      </c>
    </row>
    <row r="31" spans="1:13" x14ac:dyDescent="0.25">
      <c r="A31" s="302" t="s">
        <v>319</v>
      </c>
      <c r="B31" s="302"/>
      <c r="C31" s="11"/>
      <c r="D31" s="11"/>
      <c r="E31" s="11"/>
      <c r="F31" s="11"/>
    </row>
    <row r="32" spans="1:13" x14ac:dyDescent="0.25">
      <c r="A32" s="302" t="s">
        <v>319</v>
      </c>
      <c r="B32" s="302"/>
      <c r="C32" s="11"/>
      <c r="D32" s="11"/>
      <c r="E32" s="11"/>
      <c r="F32" s="11"/>
    </row>
    <row r="35" spans="1:6" x14ac:dyDescent="0.25">
      <c r="A35" s="301" t="s">
        <v>323</v>
      </c>
      <c r="B35" s="301"/>
      <c r="C35" s="301"/>
      <c r="D35" s="301"/>
      <c r="E35" s="301"/>
      <c r="F35" s="301"/>
    </row>
    <row r="36" spans="1:6" x14ac:dyDescent="0.25">
      <c r="A36" s="303" t="s">
        <v>285</v>
      </c>
      <c r="B36" s="304"/>
      <c r="C36" s="301" t="s">
        <v>326</v>
      </c>
      <c r="D36" s="301"/>
      <c r="E36" s="301"/>
      <c r="F36" s="301"/>
    </row>
    <row r="37" spans="1:6" x14ac:dyDescent="0.25">
      <c r="A37" s="305"/>
      <c r="B37" s="306"/>
      <c r="C37" s="167" t="s">
        <v>300</v>
      </c>
      <c r="D37" s="167" t="s">
        <v>301</v>
      </c>
      <c r="E37" s="167" t="s">
        <v>302</v>
      </c>
      <c r="F37" s="167" t="s">
        <v>16</v>
      </c>
    </row>
    <row r="38" spans="1:6" x14ac:dyDescent="0.25">
      <c r="A38" s="302" t="s">
        <v>324</v>
      </c>
      <c r="B38" s="302"/>
      <c r="C38" s="11"/>
      <c r="D38" s="11"/>
      <c r="E38" s="11"/>
      <c r="F38" s="11"/>
    </row>
    <row r="39" spans="1:6" x14ac:dyDescent="0.25">
      <c r="A39" s="302" t="s">
        <v>325</v>
      </c>
      <c r="B39" s="302"/>
      <c r="C39" s="11"/>
      <c r="D39" s="11"/>
      <c r="E39" s="11"/>
      <c r="F39" s="11"/>
    </row>
    <row r="42" spans="1:6" x14ac:dyDescent="0.25">
      <c r="A42" s="301" t="s">
        <v>327</v>
      </c>
      <c r="B42" s="301"/>
      <c r="C42" s="301"/>
      <c r="D42" s="301"/>
      <c r="E42" s="301"/>
      <c r="F42" s="301"/>
    </row>
    <row r="43" spans="1:6" x14ac:dyDescent="0.25">
      <c r="A43" s="303" t="s">
        <v>285</v>
      </c>
      <c r="B43" s="304"/>
      <c r="C43" s="301" t="s">
        <v>329</v>
      </c>
      <c r="D43" s="301"/>
      <c r="E43" s="301"/>
      <c r="F43" s="301"/>
    </row>
    <row r="44" spans="1:6" x14ac:dyDescent="0.25">
      <c r="A44" s="305"/>
      <c r="B44" s="306"/>
      <c r="C44" s="167" t="s">
        <v>300</v>
      </c>
      <c r="D44" s="167" t="s">
        <v>301</v>
      </c>
      <c r="E44" s="167" t="s">
        <v>302</v>
      </c>
      <c r="F44" s="167" t="s">
        <v>321</v>
      </c>
    </row>
    <row r="45" spans="1:6" x14ac:dyDescent="0.25">
      <c r="A45" s="301" t="s">
        <v>319</v>
      </c>
      <c r="B45" s="301"/>
      <c r="C45" s="11"/>
      <c r="D45" s="11"/>
      <c r="E45" s="11"/>
      <c r="F45" s="11"/>
    </row>
    <row r="46" spans="1:6" x14ac:dyDescent="0.25">
      <c r="A46" s="301" t="s">
        <v>328</v>
      </c>
      <c r="B46" s="301"/>
      <c r="C46" s="11"/>
      <c r="D46" s="11"/>
      <c r="E46" s="11"/>
      <c r="F46" s="11"/>
    </row>
  </sheetData>
  <mergeCells count="32">
    <mergeCell ref="H4:H6"/>
    <mergeCell ref="I4:I6"/>
    <mergeCell ref="K4:K6"/>
    <mergeCell ref="L4:L6"/>
    <mergeCell ref="C4:C6"/>
    <mergeCell ref="D4:D6"/>
    <mergeCell ref="E4:E6"/>
    <mergeCell ref="F4:F6"/>
    <mergeCell ref="G4:G6"/>
    <mergeCell ref="A1:M1"/>
    <mergeCell ref="A2:M2"/>
    <mergeCell ref="A28:F28"/>
    <mergeCell ref="A35:F35"/>
    <mergeCell ref="A36:B37"/>
    <mergeCell ref="C36:F36"/>
    <mergeCell ref="A29:B30"/>
    <mergeCell ref="A31:B31"/>
    <mergeCell ref="A32:B32"/>
    <mergeCell ref="C29:F29"/>
    <mergeCell ref="M4:M6"/>
    <mergeCell ref="A3:B6"/>
    <mergeCell ref="C3:F3"/>
    <mergeCell ref="L3:M3"/>
    <mergeCell ref="J4:J6"/>
    <mergeCell ref="G3:K3"/>
    <mergeCell ref="A45:B45"/>
    <mergeCell ref="A46:B46"/>
    <mergeCell ref="A38:B38"/>
    <mergeCell ref="A39:B39"/>
    <mergeCell ref="A42:F42"/>
    <mergeCell ref="A43:B44"/>
    <mergeCell ref="C43:F43"/>
  </mergeCells>
  <pageMargins left="0.49" right="0.14000000000000001" top="0.75" bottom="0.75" header="0.3" footer="0.3"/>
  <pageSetup scale="5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6"/>
  <sheetViews>
    <sheetView view="pageBreakPreview" zoomScaleNormal="100" zoomScaleSheetLayoutView="100" workbookViewId="0">
      <selection activeCell="A31" sqref="A31"/>
    </sheetView>
  </sheetViews>
  <sheetFormatPr defaultColWidth="9.140625" defaultRowHeight="15" x14ac:dyDescent="0.25"/>
  <cols>
    <col min="1" max="1" width="61.85546875" style="1" bestFit="1" customWidth="1"/>
    <col min="2" max="2" width="24.42578125" style="1" customWidth="1"/>
    <col min="3" max="3" width="14.85546875" style="1" customWidth="1"/>
    <col min="4" max="4" width="17.42578125" style="1" customWidth="1"/>
    <col min="5" max="5" width="15.140625" style="1" customWidth="1"/>
    <col min="6" max="16384" width="9.140625" style="1"/>
  </cols>
  <sheetData>
    <row r="1" spans="1:5" x14ac:dyDescent="0.25">
      <c r="A1" s="259" t="str">
        <f>+'Profit &amp; loss'!A1:E1</f>
        <v>ABC Private Limited</v>
      </c>
      <c r="B1" s="259"/>
      <c r="C1" s="259"/>
      <c r="D1" s="259"/>
      <c r="E1" s="259"/>
    </row>
    <row r="3" spans="1:5" x14ac:dyDescent="0.25">
      <c r="A3" s="295" t="s">
        <v>99</v>
      </c>
      <c r="B3" s="295"/>
      <c r="C3" s="295"/>
      <c r="D3" s="295"/>
      <c r="E3" s="295"/>
    </row>
    <row r="4" spans="1:5" x14ac:dyDescent="0.25">
      <c r="A4" s="37"/>
      <c r="B4" s="37"/>
      <c r="C4" s="37"/>
      <c r="D4" s="37"/>
      <c r="E4" s="37"/>
    </row>
    <row r="5" spans="1:5" x14ac:dyDescent="0.25">
      <c r="A5" s="291" t="s">
        <v>317</v>
      </c>
      <c r="B5" s="291"/>
      <c r="C5" s="291"/>
      <c r="D5" s="291"/>
      <c r="E5" s="291"/>
    </row>
    <row r="6" spans="1:5" x14ac:dyDescent="0.25">
      <c r="A6" s="52" t="s">
        <v>162</v>
      </c>
      <c r="B6" s="53"/>
      <c r="C6" s="53"/>
      <c r="D6" s="53"/>
      <c r="E6" s="53"/>
    </row>
    <row r="7" spans="1:5" ht="30" x14ac:dyDescent="0.25">
      <c r="A7" s="277" t="s">
        <v>0</v>
      </c>
      <c r="B7" s="278"/>
      <c r="C7" s="279"/>
      <c r="D7" s="73" t="s">
        <v>1</v>
      </c>
      <c r="E7" s="74" t="s">
        <v>2</v>
      </c>
    </row>
    <row r="8" spans="1:5" x14ac:dyDescent="0.25">
      <c r="A8" s="75"/>
      <c r="B8" s="56"/>
      <c r="C8" s="56"/>
      <c r="D8" s="76"/>
      <c r="E8" s="77"/>
    </row>
    <row r="9" spans="1:5" x14ac:dyDescent="0.25">
      <c r="A9" s="58" t="s">
        <v>163</v>
      </c>
      <c r="C9" s="56"/>
      <c r="D9" s="101">
        <v>0</v>
      </c>
      <c r="E9" s="69">
        <v>0</v>
      </c>
    </row>
    <row r="10" spans="1:5" x14ac:dyDescent="0.25">
      <c r="A10" s="58"/>
      <c r="C10" s="56"/>
      <c r="D10" s="101"/>
      <c r="E10" s="69"/>
    </row>
    <row r="11" spans="1:5" x14ac:dyDescent="0.25">
      <c r="A11" s="75" t="s">
        <v>164</v>
      </c>
      <c r="B11" s="78"/>
      <c r="C11" s="56"/>
      <c r="D11" s="79">
        <v>0</v>
      </c>
      <c r="E11" s="80">
        <v>0</v>
      </c>
    </row>
    <row r="12" spans="1:5" x14ac:dyDescent="0.25">
      <c r="A12" s="75" t="s">
        <v>165</v>
      </c>
      <c r="B12" s="78"/>
      <c r="C12" s="56"/>
      <c r="D12" s="79">
        <v>0</v>
      </c>
      <c r="E12" s="80">
        <v>0</v>
      </c>
    </row>
    <row r="13" spans="1:5" x14ac:dyDescent="0.25">
      <c r="A13" s="55"/>
      <c r="B13" s="78"/>
      <c r="C13" s="56"/>
      <c r="D13" s="81"/>
      <c r="E13" s="68"/>
    </row>
    <row r="14" spans="1:5" x14ac:dyDescent="0.25">
      <c r="A14" s="274" t="s">
        <v>16</v>
      </c>
      <c r="B14" s="275"/>
      <c r="C14" s="276"/>
      <c r="D14" s="70">
        <f>SUM(D8:D13)</f>
        <v>0</v>
      </c>
      <c r="E14" s="70">
        <f>SUM(E9:E13)</f>
        <v>0</v>
      </c>
    </row>
    <row r="17" spans="1:5" x14ac:dyDescent="0.25">
      <c r="A17" s="37" t="s">
        <v>168</v>
      </c>
      <c r="B17" s="37"/>
      <c r="C17" s="37"/>
      <c r="D17" s="37"/>
      <c r="E17" s="37"/>
    </row>
    <row r="18" spans="1:5" ht="30" x14ac:dyDescent="0.25">
      <c r="A18" s="269" t="s">
        <v>0</v>
      </c>
      <c r="B18" s="270"/>
      <c r="C18" s="270"/>
      <c r="D18" s="54" t="s">
        <v>1</v>
      </c>
      <c r="E18" s="54" t="s">
        <v>2</v>
      </c>
    </row>
    <row r="19" spans="1:5" x14ac:dyDescent="0.25">
      <c r="A19" s="139"/>
      <c r="B19" s="140"/>
      <c r="C19" s="140"/>
      <c r="D19" s="67"/>
      <c r="E19" s="67"/>
    </row>
    <row r="20" spans="1:5" x14ac:dyDescent="0.25">
      <c r="A20" s="93" t="s">
        <v>166</v>
      </c>
      <c r="B20" s="32"/>
      <c r="C20" s="32"/>
      <c r="D20" s="95"/>
      <c r="E20" s="97"/>
    </row>
    <row r="21" spans="1:5" x14ac:dyDescent="0.25">
      <c r="A21" s="94" t="s">
        <v>167</v>
      </c>
      <c r="B21" s="32"/>
      <c r="C21" s="47">
        <v>0</v>
      </c>
      <c r="D21" s="95"/>
      <c r="E21" s="4"/>
    </row>
    <row r="22" spans="1:5" x14ac:dyDescent="0.25">
      <c r="A22" s="94" t="s">
        <v>114</v>
      </c>
      <c r="B22" s="32"/>
      <c r="C22" s="71">
        <v>0</v>
      </c>
      <c r="D22" s="95"/>
      <c r="E22" s="4"/>
    </row>
    <row r="23" spans="1:5" x14ac:dyDescent="0.25">
      <c r="A23" s="94" t="s">
        <v>115</v>
      </c>
      <c r="B23" s="32"/>
      <c r="C23" s="47">
        <f>+C21-C22</f>
        <v>0</v>
      </c>
      <c r="D23" s="95">
        <f>+C23*0.26</f>
        <v>0</v>
      </c>
      <c r="E23" s="102">
        <v>0</v>
      </c>
    </row>
    <row r="24" spans="1:5" x14ac:dyDescent="0.25">
      <c r="A24" s="94"/>
      <c r="B24" s="32"/>
      <c r="C24" s="32"/>
      <c r="D24" s="95"/>
      <c r="E24" s="97"/>
    </row>
    <row r="25" spans="1:5" x14ac:dyDescent="0.25">
      <c r="A25" s="93" t="s">
        <v>111</v>
      </c>
      <c r="B25" s="32"/>
      <c r="C25" s="32"/>
      <c r="D25" s="95"/>
      <c r="E25" s="97"/>
    </row>
    <row r="26" spans="1:5" x14ac:dyDescent="0.25">
      <c r="A26" s="94" t="s">
        <v>112</v>
      </c>
      <c r="B26" s="32"/>
      <c r="C26" s="32"/>
      <c r="D26" s="95">
        <v>0</v>
      </c>
      <c r="E26" s="97">
        <v>0</v>
      </c>
    </row>
    <row r="27" spans="1:5" x14ac:dyDescent="0.25">
      <c r="A27" s="94"/>
      <c r="B27" s="32"/>
      <c r="C27" s="32"/>
      <c r="D27" s="95"/>
      <c r="E27" s="97"/>
    </row>
    <row r="28" spans="1:5" x14ac:dyDescent="0.25">
      <c r="A28" s="271" t="s">
        <v>16</v>
      </c>
      <c r="B28" s="272"/>
      <c r="C28" s="273"/>
      <c r="D28" s="96">
        <v>0</v>
      </c>
      <c r="E28" s="98">
        <v>0</v>
      </c>
    </row>
    <row r="31" spans="1:5" x14ac:dyDescent="0.25">
      <c r="A31" s="52" t="s">
        <v>170</v>
      </c>
      <c r="B31" s="53"/>
      <c r="C31" s="53"/>
      <c r="D31" s="53"/>
      <c r="E31" s="53"/>
    </row>
    <row r="32" spans="1:5" ht="30" x14ac:dyDescent="0.25">
      <c r="A32" s="277" t="s">
        <v>0</v>
      </c>
      <c r="B32" s="278"/>
      <c r="C32" s="279"/>
      <c r="D32" s="73" t="s">
        <v>1</v>
      </c>
      <c r="E32" s="74" t="s">
        <v>2</v>
      </c>
    </row>
    <row r="33" spans="1:5" x14ac:dyDescent="0.25">
      <c r="A33" s="141"/>
      <c r="B33" s="142"/>
      <c r="C33" s="142"/>
      <c r="D33" s="73"/>
      <c r="E33" s="74"/>
    </row>
    <row r="34" spans="1:5" x14ac:dyDescent="0.25">
      <c r="A34" s="59" t="s">
        <v>3</v>
      </c>
      <c r="B34" s="56"/>
      <c r="C34" s="56"/>
      <c r="D34" s="76"/>
      <c r="E34" s="77"/>
    </row>
    <row r="35" spans="1:5" x14ac:dyDescent="0.25">
      <c r="A35" s="58" t="s">
        <v>169</v>
      </c>
      <c r="C35" s="56"/>
      <c r="D35" s="101">
        <v>0</v>
      </c>
      <c r="E35" s="69">
        <v>0</v>
      </c>
    </row>
    <row r="36" spans="1:5" x14ac:dyDescent="0.25">
      <c r="A36" s="75"/>
      <c r="B36" s="78"/>
      <c r="C36" s="56"/>
      <c r="D36" s="79"/>
      <c r="E36" s="80"/>
    </row>
    <row r="37" spans="1:5" x14ac:dyDescent="0.25">
      <c r="A37" s="274" t="s">
        <v>16</v>
      </c>
      <c r="B37" s="275"/>
      <c r="C37" s="276"/>
      <c r="D37" s="70">
        <f>SUM(D34:D36)</f>
        <v>0</v>
      </c>
      <c r="E37" s="70">
        <f>SUM(E35:E36)</f>
        <v>0</v>
      </c>
    </row>
    <row r="40" spans="1:5" x14ac:dyDescent="0.25">
      <c r="A40" s="52" t="s">
        <v>171</v>
      </c>
      <c r="B40" s="53"/>
      <c r="C40" s="53"/>
      <c r="D40" s="53"/>
      <c r="E40" s="53"/>
    </row>
    <row r="41" spans="1:5" ht="30" x14ac:dyDescent="0.25">
      <c r="A41" s="277" t="s">
        <v>0</v>
      </c>
      <c r="B41" s="278"/>
      <c r="C41" s="279"/>
      <c r="D41" s="73" t="s">
        <v>1</v>
      </c>
      <c r="E41" s="74" t="s">
        <v>2</v>
      </c>
    </row>
    <row r="42" spans="1:5" x14ac:dyDescent="0.25">
      <c r="A42" s="59"/>
      <c r="B42" s="56"/>
      <c r="C42" s="56"/>
      <c r="D42" s="76"/>
      <c r="E42" s="77"/>
    </row>
    <row r="43" spans="1:5" x14ac:dyDescent="0.25">
      <c r="A43" s="59"/>
      <c r="B43" s="56"/>
      <c r="C43" s="56"/>
      <c r="D43" s="81"/>
      <c r="E43" s="68"/>
    </row>
    <row r="44" spans="1:5" x14ac:dyDescent="0.25">
      <c r="A44" s="59"/>
      <c r="B44" s="56"/>
      <c r="C44" s="56"/>
      <c r="D44" s="81"/>
      <c r="E44" s="68"/>
    </row>
    <row r="45" spans="1:5" x14ac:dyDescent="0.25">
      <c r="A45" s="58"/>
      <c r="C45" s="56"/>
      <c r="D45" s="101">
        <v>0</v>
      </c>
      <c r="E45" s="69">
        <v>0</v>
      </c>
    </row>
    <row r="46" spans="1:5" x14ac:dyDescent="0.25">
      <c r="A46" s="75"/>
      <c r="B46" s="78"/>
      <c r="C46" s="56"/>
      <c r="D46" s="79"/>
      <c r="E46" s="80"/>
    </row>
    <row r="47" spans="1:5" x14ac:dyDescent="0.25">
      <c r="A47" s="274" t="s">
        <v>16</v>
      </c>
      <c r="B47" s="275"/>
      <c r="C47" s="276"/>
      <c r="D47" s="70">
        <f>SUM(D42:D46)</f>
        <v>0</v>
      </c>
      <c r="E47" s="70">
        <f>SUM(E45:E46)</f>
        <v>0</v>
      </c>
    </row>
    <row r="50" spans="1:5" x14ac:dyDescent="0.25">
      <c r="A50" s="52" t="s">
        <v>172</v>
      </c>
      <c r="B50" s="53"/>
      <c r="C50" s="53"/>
      <c r="D50" s="53"/>
      <c r="E50" s="53"/>
    </row>
    <row r="51" spans="1:5" ht="30" x14ac:dyDescent="0.25">
      <c r="A51" s="277" t="s">
        <v>0</v>
      </c>
      <c r="B51" s="278"/>
      <c r="C51" s="279"/>
      <c r="D51" s="73" t="s">
        <v>1</v>
      </c>
      <c r="E51" s="74" t="s">
        <v>2</v>
      </c>
    </row>
    <row r="52" spans="1:5" x14ac:dyDescent="0.25">
      <c r="A52" s="75"/>
      <c r="B52" s="56"/>
      <c r="C52" s="56"/>
      <c r="D52" s="76"/>
      <c r="E52" s="77"/>
    </row>
    <row r="53" spans="1:5" x14ac:dyDescent="0.25">
      <c r="A53" s="58"/>
      <c r="C53" s="56"/>
      <c r="D53" s="101">
        <v>0</v>
      </c>
      <c r="E53" s="69">
        <v>0</v>
      </c>
    </row>
    <row r="54" spans="1:5" x14ac:dyDescent="0.25">
      <c r="A54" s="75"/>
      <c r="B54" s="78"/>
      <c r="C54" s="56"/>
      <c r="D54" s="79">
        <v>0</v>
      </c>
      <c r="E54" s="80">
        <v>0</v>
      </c>
    </row>
    <row r="55" spans="1:5" x14ac:dyDescent="0.25">
      <c r="A55" s="75"/>
      <c r="B55" s="78"/>
      <c r="C55" s="56"/>
      <c r="D55" s="79">
        <v>0</v>
      </c>
      <c r="E55" s="80">
        <v>0</v>
      </c>
    </row>
    <row r="56" spans="1:5" x14ac:dyDescent="0.25">
      <c r="A56" s="55"/>
      <c r="B56" s="78"/>
      <c r="C56" s="56"/>
      <c r="D56" s="81"/>
      <c r="E56" s="68"/>
    </row>
    <row r="57" spans="1:5" x14ac:dyDescent="0.25">
      <c r="A57" s="274" t="s">
        <v>16</v>
      </c>
      <c r="B57" s="275"/>
      <c r="C57" s="276"/>
      <c r="D57" s="70">
        <f>SUM(D52:D56)</f>
        <v>0</v>
      </c>
      <c r="E57" s="70">
        <f>SUM(E53:E56)</f>
        <v>0</v>
      </c>
    </row>
    <row r="60" spans="1:5" x14ac:dyDescent="0.25">
      <c r="A60" s="52" t="s">
        <v>173</v>
      </c>
      <c r="B60" s="53"/>
      <c r="C60" s="53"/>
      <c r="D60" s="53"/>
      <c r="E60" s="53"/>
    </row>
    <row r="61" spans="1:5" ht="30" x14ac:dyDescent="0.25">
      <c r="A61" s="277" t="s">
        <v>0</v>
      </c>
      <c r="B61" s="278"/>
      <c r="C61" s="279"/>
      <c r="D61" s="73" t="s">
        <v>1</v>
      </c>
      <c r="E61" s="74" t="s">
        <v>2</v>
      </c>
    </row>
    <row r="62" spans="1:5" x14ac:dyDescent="0.25">
      <c r="A62" s="75"/>
      <c r="B62" s="56"/>
      <c r="C62" s="56"/>
      <c r="D62" s="76"/>
      <c r="E62" s="77"/>
    </row>
    <row r="63" spans="1:5" x14ac:dyDescent="0.25">
      <c r="A63" s="58" t="s">
        <v>261</v>
      </c>
      <c r="C63" s="56"/>
      <c r="D63" s="101">
        <v>0</v>
      </c>
      <c r="E63" s="69">
        <v>0</v>
      </c>
    </row>
    <row r="64" spans="1:5" x14ac:dyDescent="0.25">
      <c r="A64" s="58" t="s">
        <v>262</v>
      </c>
      <c r="B64" s="78"/>
      <c r="C64" s="56"/>
      <c r="D64" s="79">
        <v>0</v>
      </c>
      <c r="E64" s="80">
        <v>0</v>
      </c>
    </row>
    <row r="65" spans="1:6" x14ac:dyDescent="0.25">
      <c r="A65" s="58" t="s">
        <v>263</v>
      </c>
      <c r="B65" s="78"/>
      <c r="C65" s="56"/>
      <c r="D65" s="79">
        <v>0</v>
      </c>
      <c r="E65" s="80">
        <v>0</v>
      </c>
    </row>
    <row r="66" spans="1:6" x14ac:dyDescent="0.25">
      <c r="A66" s="58" t="s">
        <v>264</v>
      </c>
      <c r="B66" s="78"/>
      <c r="C66" s="56"/>
      <c r="D66" s="79">
        <v>0</v>
      </c>
      <c r="E66" s="80">
        <v>0</v>
      </c>
    </row>
    <row r="67" spans="1:6" x14ac:dyDescent="0.25">
      <c r="A67" s="58" t="s">
        <v>265</v>
      </c>
      <c r="B67" s="78"/>
      <c r="C67" s="56"/>
      <c r="D67" s="79">
        <v>0</v>
      </c>
      <c r="E67" s="80">
        <v>0</v>
      </c>
    </row>
    <row r="68" spans="1:6" x14ac:dyDescent="0.25">
      <c r="A68" s="55"/>
      <c r="B68" s="78"/>
      <c r="C68" s="56"/>
      <c r="D68" s="81"/>
      <c r="E68" s="68"/>
    </row>
    <row r="69" spans="1:6" x14ac:dyDescent="0.25">
      <c r="A69" s="274" t="s">
        <v>16</v>
      </c>
      <c r="B69" s="275"/>
      <c r="C69" s="276"/>
      <c r="D69" s="70">
        <f>SUM(D62:D68)</f>
        <v>0</v>
      </c>
      <c r="E69" s="70">
        <f>SUM(E63:E68)</f>
        <v>0</v>
      </c>
    </row>
    <row r="72" spans="1:6" x14ac:dyDescent="0.25">
      <c r="A72" s="37" t="s">
        <v>174</v>
      </c>
      <c r="B72" s="37"/>
      <c r="C72" s="37"/>
      <c r="D72" s="37"/>
      <c r="E72" s="37"/>
      <c r="F72" s="37"/>
    </row>
    <row r="73" spans="1:6" ht="30" x14ac:dyDescent="0.25">
      <c r="A73" s="269" t="s">
        <v>0</v>
      </c>
      <c r="B73" s="270"/>
      <c r="C73" s="314"/>
      <c r="D73" s="99" t="s">
        <v>124</v>
      </c>
      <c r="E73" s="99" t="s">
        <v>15</v>
      </c>
    </row>
    <row r="74" spans="1:6" x14ac:dyDescent="0.25">
      <c r="A74" s="131"/>
      <c r="B74" s="72"/>
      <c r="C74" s="132"/>
      <c r="D74" s="129"/>
      <c r="E74" s="129"/>
    </row>
    <row r="75" spans="1:6" x14ac:dyDescent="0.25">
      <c r="A75" s="133" t="s">
        <v>259</v>
      </c>
      <c r="B75" s="72"/>
      <c r="C75" s="132"/>
      <c r="D75" s="130">
        <v>0</v>
      </c>
      <c r="E75" s="130">
        <v>0</v>
      </c>
    </row>
    <row r="76" spans="1:6" x14ac:dyDescent="0.25">
      <c r="A76" s="133" t="s">
        <v>266</v>
      </c>
      <c r="B76" s="72"/>
      <c r="C76" s="132"/>
      <c r="D76" s="130"/>
      <c r="E76" s="130"/>
    </row>
    <row r="77" spans="1:6" x14ac:dyDescent="0.25">
      <c r="A77" s="133" t="s">
        <v>267</v>
      </c>
      <c r="B77" s="72"/>
      <c r="C77" s="132"/>
      <c r="D77" s="130"/>
      <c r="E77" s="130"/>
    </row>
    <row r="78" spans="1:6" x14ac:dyDescent="0.25">
      <c r="A78" s="133"/>
      <c r="B78" s="72"/>
      <c r="C78" s="132"/>
      <c r="D78" s="130"/>
      <c r="E78" s="130"/>
    </row>
    <row r="79" spans="1:6" x14ac:dyDescent="0.25">
      <c r="A79" s="133" t="s">
        <v>260</v>
      </c>
      <c r="B79" s="72"/>
      <c r="C79" s="132"/>
      <c r="D79" s="130">
        <v>0</v>
      </c>
      <c r="E79" s="130">
        <v>0</v>
      </c>
    </row>
    <row r="80" spans="1:6" x14ac:dyDescent="0.25">
      <c r="A80" s="133" t="s">
        <v>266</v>
      </c>
      <c r="B80" s="72"/>
      <c r="C80" s="132"/>
      <c r="D80" s="130"/>
      <c r="E80" s="130"/>
    </row>
    <row r="81" spans="1:6" x14ac:dyDescent="0.25">
      <c r="A81" s="133" t="s">
        <v>267</v>
      </c>
      <c r="B81" s="72"/>
      <c r="C81" s="132"/>
      <c r="D81" s="130"/>
      <c r="E81" s="130"/>
    </row>
    <row r="82" spans="1:6" x14ac:dyDescent="0.25">
      <c r="A82" s="133"/>
      <c r="B82" s="72"/>
      <c r="C82" s="132"/>
      <c r="D82" s="130"/>
      <c r="E82" s="130"/>
    </row>
    <row r="83" spans="1:6" x14ac:dyDescent="0.25">
      <c r="A83" s="133" t="s">
        <v>268</v>
      </c>
      <c r="B83" s="72"/>
      <c r="C83" s="132"/>
      <c r="D83" s="130">
        <v>0</v>
      </c>
      <c r="E83" s="130">
        <v>0</v>
      </c>
    </row>
    <row r="84" spans="1:6" x14ac:dyDescent="0.25">
      <c r="A84" s="133"/>
      <c r="B84" s="72"/>
      <c r="C84" s="132"/>
      <c r="D84" s="130"/>
      <c r="E84" s="130"/>
    </row>
    <row r="85" spans="1:6" x14ac:dyDescent="0.25">
      <c r="A85" s="271" t="s">
        <v>16</v>
      </c>
      <c r="B85" s="272"/>
      <c r="C85" s="273"/>
      <c r="D85" s="96">
        <f>+D75+D79</f>
        <v>0</v>
      </c>
      <c r="E85" s="96">
        <f>+E75+E79</f>
        <v>0</v>
      </c>
    </row>
    <row r="87" spans="1:6" x14ac:dyDescent="0.25">
      <c r="A87" s="3" t="s">
        <v>309</v>
      </c>
    </row>
    <row r="88" spans="1:6" x14ac:dyDescent="0.25">
      <c r="A88" s="301" t="s">
        <v>0</v>
      </c>
      <c r="B88" s="302" t="s">
        <v>310</v>
      </c>
      <c r="C88" s="302"/>
      <c r="D88" s="302"/>
      <c r="E88" s="312" t="s">
        <v>16</v>
      </c>
    </row>
    <row r="89" spans="1:6" x14ac:dyDescent="0.25">
      <c r="A89" s="301"/>
      <c r="B89" s="19" t="s">
        <v>311</v>
      </c>
      <c r="C89" s="19" t="s">
        <v>312</v>
      </c>
      <c r="D89" s="19" t="s">
        <v>301</v>
      </c>
      <c r="E89" s="313"/>
    </row>
    <row r="90" spans="1:6" x14ac:dyDescent="0.25">
      <c r="A90" s="11" t="s">
        <v>313</v>
      </c>
      <c r="B90" s="11"/>
      <c r="C90" s="11"/>
      <c r="D90" s="11"/>
      <c r="E90" s="11"/>
    </row>
    <row r="91" spans="1:6" x14ac:dyDescent="0.25">
      <c r="A91" s="11" t="s">
        <v>314</v>
      </c>
      <c r="B91" s="11"/>
      <c r="C91" s="11"/>
      <c r="D91" s="11"/>
      <c r="E91" s="11"/>
    </row>
    <row r="92" spans="1:6" x14ac:dyDescent="0.25">
      <c r="A92" s="11" t="s">
        <v>315</v>
      </c>
      <c r="B92" s="11"/>
      <c r="C92" s="11"/>
      <c r="D92" s="11"/>
      <c r="E92" s="11"/>
    </row>
    <row r="93" spans="1:6" x14ac:dyDescent="0.25">
      <c r="A93" s="11" t="s">
        <v>316</v>
      </c>
      <c r="B93" s="11"/>
      <c r="C93" s="11"/>
      <c r="D93" s="11"/>
      <c r="E93" s="11"/>
    </row>
    <row r="96" spans="1:6" x14ac:dyDescent="0.25">
      <c r="A96" s="37" t="s">
        <v>175</v>
      </c>
      <c r="B96" s="37"/>
      <c r="C96" s="37"/>
      <c r="D96" s="37"/>
      <c r="E96" s="37"/>
      <c r="F96" s="37"/>
    </row>
    <row r="97" spans="1:5" ht="30" x14ac:dyDescent="0.25">
      <c r="A97" s="269" t="s">
        <v>0</v>
      </c>
      <c r="B97" s="270"/>
      <c r="C97" s="270"/>
      <c r="D97" s="134" t="s">
        <v>124</v>
      </c>
      <c r="E97" s="134" t="s">
        <v>15</v>
      </c>
    </row>
    <row r="98" spans="1:5" x14ac:dyDescent="0.25">
      <c r="A98" s="139"/>
      <c r="B98" s="140"/>
      <c r="C98" s="140"/>
      <c r="D98" s="143"/>
      <c r="E98" s="143"/>
    </row>
    <row r="99" spans="1:5" x14ac:dyDescent="0.25">
      <c r="A99" s="133" t="s">
        <v>269</v>
      </c>
      <c r="B99" s="72"/>
      <c r="C99" s="72"/>
      <c r="D99" s="135">
        <v>0</v>
      </c>
      <c r="E99" s="135">
        <v>0</v>
      </c>
    </row>
    <row r="100" spans="1:5" x14ac:dyDescent="0.25">
      <c r="A100" s="133" t="s">
        <v>270</v>
      </c>
      <c r="B100" s="72"/>
      <c r="C100" s="72"/>
      <c r="D100" s="135"/>
      <c r="E100" s="135"/>
    </row>
    <row r="101" spans="1:5" x14ac:dyDescent="0.25">
      <c r="A101" s="133" t="s">
        <v>271</v>
      </c>
      <c r="B101" s="72"/>
      <c r="C101" s="72"/>
      <c r="D101" s="135">
        <v>0</v>
      </c>
      <c r="E101" s="135">
        <v>0</v>
      </c>
    </row>
    <row r="102" spans="1:5" x14ac:dyDescent="0.25">
      <c r="A102" s="133"/>
      <c r="B102" s="72"/>
      <c r="C102" s="72"/>
      <c r="D102" s="135"/>
      <c r="E102" s="135"/>
    </row>
    <row r="103" spans="1:5" x14ac:dyDescent="0.25">
      <c r="A103" s="271" t="s">
        <v>16</v>
      </c>
      <c r="B103" s="272"/>
      <c r="C103" s="273"/>
      <c r="D103" s="136">
        <f>SUM(D99:D101)</f>
        <v>0</v>
      </c>
      <c r="E103" s="136">
        <f>SUM(E99:E101)</f>
        <v>0</v>
      </c>
    </row>
    <row r="106" spans="1:5" x14ac:dyDescent="0.25">
      <c r="A106" s="52" t="s">
        <v>176</v>
      </c>
      <c r="B106" s="53"/>
      <c r="C106" s="53"/>
      <c r="D106" s="53"/>
      <c r="E106" s="53"/>
    </row>
    <row r="107" spans="1:5" ht="30" x14ac:dyDescent="0.25">
      <c r="A107" s="277" t="s">
        <v>0</v>
      </c>
      <c r="B107" s="278"/>
      <c r="C107" s="278"/>
      <c r="D107" s="73" t="s">
        <v>1</v>
      </c>
      <c r="E107" s="74" t="s">
        <v>2</v>
      </c>
    </row>
    <row r="108" spans="1:5" x14ac:dyDescent="0.25">
      <c r="A108" s="141"/>
      <c r="B108" s="142"/>
      <c r="C108" s="142"/>
      <c r="D108" s="73"/>
      <c r="E108" s="74"/>
    </row>
    <row r="109" spans="1:5" x14ac:dyDescent="0.25">
      <c r="A109" s="160" t="s">
        <v>274</v>
      </c>
      <c r="B109" s="142"/>
      <c r="C109" s="142"/>
      <c r="D109" s="162">
        <v>0</v>
      </c>
      <c r="E109" s="92">
        <v>0</v>
      </c>
    </row>
    <row r="110" spans="1:5" x14ac:dyDescent="0.25">
      <c r="A110" s="160" t="s">
        <v>272</v>
      </c>
      <c r="B110" s="142"/>
      <c r="C110" s="142"/>
      <c r="D110" s="162">
        <v>0</v>
      </c>
      <c r="E110" s="92">
        <v>0</v>
      </c>
    </row>
    <row r="111" spans="1:5" x14ac:dyDescent="0.25">
      <c r="A111" s="160" t="s">
        <v>273</v>
      </c>
      <c r="B111" s="142"/>
      <c r="C111" s="142"/>
      <c r="D111" s="162">
        <v>0</v>
      </c>
      <c r="E111" s="92">
        <v>0</v>
      </c>
    </row>
    <row r="112" spans="1:5" x14ac:dyDescent="0.25">
      <c r="A112" s="75"/>
      <c r="B112" s="78"/>
      <c r="C112" s="56"/>
      <c r="D112" s="79"/>
      <c r="E112" s="80"/>
    </row>
    <row r="113" spans="1:6" x14ac:dyDescent="0.25">
      <c r="A113" s="274" t="s">
        <v>16</v>
      </c>
      <c r="B113" s="275"/>
      <c r="C113" s="275"/>
      <c r="D113" s="161">
        <f>SUM(D112:D112)</f>
        <v>0</v>
      </c>
      <c r="E113" s="70">
        <f>SUM(E112:E112)</f>
        <v>0</v>
      </c>
    </row>
    <row r="116" spans="1:6" x14ac:dyDescent="0.25">
      <c r="A116" s="37" t="s">
        <v>177</v>
      </c>
      <c r="B116" s="37"/>
      <c r="C116" s="37"/>
      <c r="D116" s="37"/>
      <c r="E116" s="37"/>
      <c r="F116" s="37"/>
    </row>
    <row r="117" spans="1:6" ht="30" x14ac:dyDescent="0.25">
      <c r="A117" s="269" t="s">
        <v>0</v>
      </c>
      <c r="B117" s="270"/>
      <c r="C117" s="270"/>
      <c r="D117" s="99" t="s">
        <v>15</v>
      </c>
      <c r="E117" s="99" t="s">
        <v>15</v>
      </c>
    </row>
    <row r="118" spans="1:6" x14ac:dyDescent="0.25">
      <c r="A118" s="137"/>
      <c r="B118" s="72"/>
      <c r="C118" s="72"/>
      <c r="D118" s="129"/>
      <c r="E118" s="129"/>
    </row>
    <row r="119" spans="1:6" x14ac:dyDescent="0.25">
      <c r="A119" s="133" t="s">
        <v>17</v>
      </c>
      <c r="B119" s="72"/>
      <c r="C119" s="72"/>
      <c r="D119" s="130">
        <v>0</v>
      </c>
      <c r="E119" s="130">
        <v>0</v>
      </c>
    </row>
    <row r="120" spans="1:6" x14ac:dyDescent="0.25">
      <c r="A120" s="133" t="s">
        <v>18</v>
      </c>
      <c r="B120" s="72"/>
      <c r="C120" s="72"/>
      <c r="D120" s="130">
        <v>0</v>
      </c>
      <c r="E120" s="130">
        <v>0</v>
      </c>
    </row>
    <row r="121" spans="1:6" x14ac:dyDescent="0.25">
      <c r="A121" s="133" t="s">
        <v>278</v>
      </c>
      <c r="B121" s="72"/>
      <c r="C121" s="72"/>
      <c r="D121" s="130"/>
      <c r="E121" s="130"/>
    </row>
    <row r="122" spans="1:6" x14ac:dyDescent="0.25">
      <c r="A122" s="133" t="s">
        <v>57</v>
      </c>
      <c r="B122" s="72"/>
      <c r="C122" s="72"/>
      <c r="D122" s="130"/>
      <c r="E122" s="130"/>
    </row>
    <row r="123" spans="1:6" x14ac:dyDescent="0.25">
      <c r="A123" s="133" t="s">
        <v>60</v>
      </c>
      <c r="B123" s="72"/>
      <c r="C123" s="72"/>
      <c r="D123" s="130"/>
      <c r="E123" s="130"/>
    </row>
    <row r="124" spans="1:6" x14ac:dyDescent="0.25">
      <c r="A124" s="133" t="s">
        <v>390</v>
      </c>
      <c r="B124" s="72"/>
      <c r="C124" s="72"/>
      <c r="D124" s="130"/>
      <c r="E124" s="130"/>
    </row>
    <row r="125" spans="1:6" x14ac:dyDescent="0.25">
      <c r="A125" s="133"/>
      <c r="B125" s="72"/>
      <c r="C125" s="72"/>
      <c r="D125" s="130"/>
      <c r="E125" s="130"/>
    </row>
    <row r="126" spans="1:6" x14ac:dyDescent="0.25">
      <c r="A126" s="271" t="s">
        <v>16</v>
      </c>
      <c r="B126" s="272"/>
      <c r="C126" s="273"/>
      <c r="D126" s="96">
        <f>SUM(D119:D120)</f>
        <v>0</v>
      </c>
      <c r="E126" s="96">
        <f>SUM(E119:E120)</f>
        <v>0</v>
      </c>
    </row>
  </sheetData>
  <mergeCells count="26">
    <mergeCell ref="A1:E1"/>
    <mergeCell ref="A14:C14"/>
    <mergeCell ref="A18:C18"/>
    <mergeCell ref="A7:C7"/>
    <mergeCell ref="A61:C61"/>
    <mergeCell ref="A47:C47"/>
    <mergeCell ref="A57:C57"/>
    <mergeCell ref="A41:C41"/>
    <mergeCell ref="A51:C51"/>
    <mergeCell ref="A32:C32"/>
    <mergeCell ref="E88:E89"/>
    <mergeCell ref="A5:E5"/>
    <mergeCell ref="A3:E3"/>
    <mergeCell ref="A117:C117"/>
    <mergeCell ref="A126:C126"/>
    <mergeCell ref="A107:C107"/>
    <mergeCell ref="A113:C113"/>
    <mergeCell ref="A73:C73"/>
    <mergeCell ref="A85:C85"/>
    <mergeCell ref="A97:C97"/>
    <mergeCell ref="A103:C103"/>
    <mergeCell ref="A88:A89"/>
    <mergeCell ref="B88:D88"/>
    <mergeCell ref="A69:C69"/>
    <mergeCell ref="A28:C28"/>
    <mergeCell ref="A37:C37"/>
  </mergeCells>
  <pageMargins left="0.7" right="0.32" top="0.75" bottom="0.75" header="0.3" footer="0.3"/>
  <pageSetup scale="61" orientation="portrait" r:id="rId1"/>
  <rowBreaks count="1" manualBreakCount="1">
    <brk id="57"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7"/>
  <sheetViews>
    <sheetView topLeftCell="A57" zoomScaleNormal="100" zoomScaleSheetLayoutView="100" workbookViewId="0">
      <selection activeCell="A83" sqref="A83:E89"/>
    </sheetView>
  </sheetViews>
  <sheetFormatPr defaultRowHeight="15" x14ac:dyDescent="0.25"/>
  <cols>
    <col min="1" max="1" width="44.28515625" customWidth="1"/>
    <col min="2" max="2" width="19.5703125" customWidth="1"/>
    <col min="3" max="3" width="12.7109375" customWidth="1"/>
    <col min="4" max="5" width="19.7109375" customWidth="1"/>
  </cols>
  <sheetData>
    <row r="1" spans="1:5" x14ac:dyDescent="0.25">
      <c r="A1" s="259" t="str">
        <f>+'Profit &amp; loss'!A1:E1</f>
        <v>ABC Private Limited</v>
      </c>
      <c r="B1" s="259"/>
      <c r="C1" s="259"/>
      <c r="D1" s="259"/>
      <c r="E1" s="259"/>
    </row>
    <row r="2" spans="1:5" x14ac:dyDescent="0.25">
      <c r="A2" s="1"/>
      <c r="B2" s="1"/>
      <c r="C2" s="1"/>
      <c r="D2" s="1"/>
      <c r="E2" s="1"/>
    </row>
    <row r="3" spans="1:5" x14ac:dyDescent="0.25">
      <c r="A3" s="37" t="s">
        <v>99</v>
      </c>
      <c r="B3" s="37"/>
      <c r="C3" s="37"/>
      <c r="D3" s="37"/>
      <c r="E3" s="37"/>
    </row>
    <row r="4" spans="1:5" x14ac:dyDescent="0.25">
      <c r="A4" s="37"/>
      <c r="B4" s="37"/>
      <c r="C4" s="37"/>
      <c r="D4" s="37"/>
      <c r="E4" s="37"/>
    </row>
    <row r="5" spans="1:5" x14ac:dyDescent="0.25">
      <c r="A5" s="1"/>
      <c r="B5" s="3"/>
      <c r="C5" s="3"/>
      <c r="D5" s="3"/>
      <c r="E5" s="138" t="s">
        <v>28</v>
      </c>
    </row>
    <row r="6" spans="1:5" x14ac:dyDescent="0.25">
      <c r="A6" s="149" t="s">
        <v>178</v>
      </c>
      <c r="B6" s="149"/>
      <c r="C6" s="149"/>
      <c r="D6" s="149"/>
      <c r="E6" s="149"/>
    </row>
    <row r="7" spans="1:5" ht="30" x14ac:dyDescent="0.25">
      <c r="A7" s="315" t="s">
        <v>0</v>
      </c>
      <c r="B7" s="316"/>
      <c r="C7" s="316"/>
      <c r="D7" s="99" t="s">
        <v>15</v>
      </c>
      <c r="E7" s="99" t="s">
        <v>15</v>
      </c>
    </row>
    <row r="8" spans="1:5" x14ac:dyDescent="0.25">
      <c r="A8" s="131"/>
      <c r="B8" s="72"/>
      <c r="C8" s="72"/>
      <c r="D8" s="150"/>
      <c r="E8" s="150"/>
    </row>
    <row r="9" spans="1:5" x14ac:dyDescent="0.25">
      <c r="A9" s="133" t="s">
        <v>179</v>
      </c>
      <c r="B9" s="72"/>
      <c r="C9" s="72"/>
      <c r="D9" s="151">
        <v>0</v>
      </c>
      <c r="E9" s="151">
        <v>0</v>
      </c>
    </row>
    <row r="10" spans="1:5" x14ac:dyDescent="0.25">
      <c r="A10" s="133" t="s">
        <v>180</v>
      </c>
      <c r="B10" s="72"/>
      <c r="C10" s="72"/>
      <c r="D10" s="151">
        <v>0</v>
      </c>
      <c r="E10" s="151">
        <v>0</v>
      </c>
    </row>
    <row r="11" spans="1:5" x14ac:dyDescent="0.25">
      <c r="A11" s="133"/>
      <c r="B11" s="72"/>
      <c r="C11" s="72"/>
      <c r="D11" s="151"/>
      <c r="E11" s="151"/>
    </row>
    <row r="12" spans="1:5" x14ac:dyDescent="0.25">
      <c r="A12" s="153" t="s">
        <v>181</v>
      </c>
      <c r="B12" s="72"/>
      <c r="C12" s="72"/>
      <c r="D12" s="151"/>
      <c r="E12" s="151"/>
    </row>
    <row r="13" spans="1:5" x14ac:dyDescent="0.25">
      <c r="A13" s="133" t="s">
        <v>248</v>
      </c>
      <c r="B13" s="72"/>
      <c r="C13" s="72"/>
      <c r="D13" s="151">
        <v>0</v>
      </c>
      <c r="E13" s="151">
        <v>0</v>
      </c>
    </row>
    <row r="14" spans="1:5" x14ac:dyDescent="0.25">
      <c r="A14" s="133" t="s">
        <v>249</v>
      </c>
      <c r="B14" s="72"/>
      <c r="C14" s="72"/>
      <c r="D14" s="151">
        <v>0</v>
      </c>
      <c r="E14" s="151">
        <v>0</v>
      </c>
    </row>
    <row r="15" spans="1:5" x14ac:dyDescent="0.25">
      <c r="A15" s="133" t="s">
        <v>250</v>
      </c>
      <c r="B15" s="72"/>
      <c r="C15" s="72"/>
      <c r="D15" s="151">
        <v>0</v>
      </c>
      <c r="E15" s="151">
        <v>0</v>
      </c>
    </row>
    <row r="16" spans="1:5" x14ac:dyDescent="0.25">
      <c r="A16" s="133"/>
      <c r="B16" s="72"/>
      <c r="C16" s="72"/>
      <c r="D16" s="151"/>
      <c r="E16" s="151"/>
    </row>
    <row r="17" spans="1:5" x14ac:dyDescent="0.25">
      <c r="A17" s="133"/>
      <c r="B17" s="72"/>
      <c r="C17" s="72"/>
      <c r="D17" s="151"/>
      <c r="E17" s="151"/>
    </row>
    <row r="18" spans="1:5" x14ac:dyDescent="0.25">
      <c r="A18" s="271" t="s">
        <v>16</v>
      </c>
      <c r="B18" s="272"/>
      <c r="C18" s="273"/>
      <c r="D18" s="152">
        <f>SUM(D9:D10)</f>
        <v>0</v>
      </c>
      <c r="E18" s="152">
        <f>SUM(E9:E10)</f>
        <v>0</v>
      </c>
    </row>
    <row r="21" spans="1:5" x14ac:dyDescent="0.25">
      <c r="A21" s="149" t="s">
        <v>182</v>
      </c>
      <c r="B21" s="149"/>
      <c r="C21" s="149"/>
      <c r="D21" s="149"/>
      <c r="E21" s="149"/>
    </row>
    <row r="22" spans="1:5" ht="30" x14ac:dyDescent="0.25">
      <c r="A22" s="315" t="s">
        <v>0</v>
      </c>
      <c r="B22" s="316"/>
      <c r="C22" s="316"/>
      <c r="D22" s="99" t="s">
        <v>15</v>
      </c>
      <c r="E22" s="99" t="s">
        <v>15</v>
      </c>
    </row>
    <row r="23" spans="1:5" x14ac:dyDescent="0.25">
      <c r="A23" s="131"/>
      <c r="B23" s="72"/>
      <c r="C23" s="72"/>
      <c r="D23" s="150"/>
      <c r="E23" s="150"/>
    </row>
    <row r="24" spans="1:5" x14ac:dyDescent="0.25">
      <c r="A24" s="133" t="s">
        <v>243</v>
      </c>
      <c r="B24" s="72"/>
      <c r="C24" s="72"/>
      <c r="D24" s="151"/>
      <c r="E24" s="151"/>
    </row>
    <row r="25" spans="1:5" x14ac:dyDescent="0.25">
      <c r="A25" s="133" t="s">
        <v>244</v>
      </c>
      <c r="B25" s="72"/>
      <c r="C25" s="72"/>
      <c r="D25" s="151">
        <v>0</v>
      </c>
      <c r="E25" s="151">
        <v>0</v>
      </c>
    </row>
    <row r="26" spans="1:5" x14ac:dyDescent="0.25">
      <c r="A26" s="133" t="s">
        <v>245</v>
      </c>
      <c r="B26" s="72"/>
      <c r="C26" s="72"/>
      <c r="D26" s="151">
        <v>0</v>
      </c>
      <c r="E26" s="151">
        <v>0</v>
      </c>
    </row>
    <row r="27" spans="1:5" x14ac:dyDescent="0.25">
      <c r="A27" s="133" t="s">
        <v>246</v>
      </c>
      <c r="B27" s="72"/>
      <c r="C27" s="72"/>
      <c r="D27" s="151">
        <v>0</v>
      </c>
      <c r="E27" s="151">
        <v>0</v>
      </c>
    </row>
    <row r="28" spans="1:5" x14ac:dyDescent="0.25">
      <c r="A28" s="133" t="s">
        <v>247</v>
      </c>
      <c r="B28" s="72"/>
      <c r="C28" s="72"/>
      <c r="D28" s="151">
        <v>0</v>
      </c>
      <c r="E28" s="151">
        <v>0</v>
      </c>
    </row>
    <row r="29" spans="1:5" x14ac:dyDescent="0.25">
      <c r="A29" s="133" t="s">
        <v>183</v>
      </c>
      <c r="B29" s="72"/>
      <c r="C29" s="72"/>
      <c r="D29" s="151">
        <v>0</v>
      </c>
      <c r="E29" s="151">
        <v>0</v>
      </c>
    </row>
    <row r="30" spans="1:5" x14ac:dyDescent="0.25">
      <c r="A30" s="133" t="s">
        <v>240</v>
      </c>
      <c r="B30" s="72"/>
      <c r="C30" s="72"/>
      <c r="D30" s="151">
        <v>0</v>
      </c>
      <c r="E30" s="151">
        <v>0</v>
      </c>
    </row>
    <row r="31" spans="1:5" x14ac:dyDescent="0.25">
      <c r="A31" s="157" t="s">
        <v>242</v>
      </c>
      <c r="B31" s="72"/>
      <c r="C31" s="72"/>
      <c r="D31" s="151">
        <v>0</v>
      </c>
      <c r="E31" s="151">
        <v>0</v>
      </c>
    </row>
    <row r="32" spans="1:5" x14ac:dyDescent="0.25">
      <c r="A32" s="133" t="s">
        <v>184</v>
      </c>
      <c r="B32" s="72"/>
      <c r="C32" s="72"/>
      <c r="D32" s="151">
        <v>0</v>
      </c>
      <c r="E32" s="151">
        <v>0</v>
      </c>
    </row>
    <row r="33" spans="1:5" x14ac:dyDescent="0.25">
      <c r="A33" s="133" t="s">
        <v>185</v>
      </c>
      <c r="B33" s="72"/>
      <c r="C33" s="72"/>
      <c r="D33" s="151">
        <v>0</v>
      </c>
      <c r="E33" s="151">
        <v>0</v>
      </c>
    </row>
    <row r="34" spans="1:5" x14ac:dyDescent="0.25">
      <c r="A34" s="133"/>
      <c r="B34" s="72"/>
      <c r="C34" s="72"/>
      <c r="D34" s="151"/>
      <c r="E34" s="151"/>
    </row>
    <row r="35" spans="1:5" x14ac:dyDescent="0.25">
      <c r="A35" s="271" t="s">
        <v>16</v>
      </c>
      <c r="B35" s="272"/>
      <c r="C35" s="273"/>
      <c r="D35" s="152">
        <f>SUM(D24:D28)</f>
        <v>0</v>
      </c>
      <c r="E35" s="152">
        <f>SUM(E24:E28)</f>
        <v>0</v>
      </c>
    </row>
    <row r="38" spans="1:5" x14ac:dyDescent="0.25">
      <c r="A38" s="149" t="s">
        <v>186</v>
      </c>
      <c r="B38" s="149"/>
      <c r="C38" s="149"/>
      <c r="D38" s="149"/>
      <c r="E38" s="149"/>
    </row>
    <row r="39" spans="1:5" ht="30" x14ac:dyDescent="0.25">
      <c r="A39" s="315" t="s">
        <v>0</v>
      </c>
      <c r="B39" s="316"/>
      <c r="C39" s="316"/>
      <c r="D39" s="99" t="s">
        <v>15</v>
      </c>
      <c r="E39" s="99" t="s">
        <v>15</v>
      </c>
    </row>
    <row r="40" spans="1:5" x14ac:dyDescent="0.25">
      <c r="A40" s="131"/>
      <c r="B40" s="72"/>
      <c r="C40" s="72"/>
      <c r="D40" s="150"/>
      <c r="E40" s="150"/>
    </row>
    <row r="41" spans="1:5" x14ac:dyDescent="0.25">
      <c r="A41" s="131" t="s">
        <v>190</v>
      </c>
      <c r="B41" s="72"/>
      <c r="C41" s="72"/>
      <c r="D41" s="151"/>
      <c r="E41" s="151"/>
    </row>
    <row r="42" spans="1:5" x14ac:dyDescent="0.25">
      <c r="A42" s="133" t="s">
        <v>188</v>
      </c>
      <c r="B42" s="72"/>
      <c r="C42" s="72"/>
      <c r="D42" s="151">
        <v>0</v>
      </c>
      <c r="E42" s="151">
        <v>0</v>
      </c>
    </row>
    <row r="43" spans="1:5" x14ac:dyDescent="0.25">
      <c r="A43" s="133" t="s">
        <v>189</v>
      </c>
      <c r="B43" s="72"/>
      <c r="C43" s="72"/>
      <c r="D43" s="151">
        <v>0</v>
      </c>
      <c r="E43" s="151">
        <v>0</v>
      </c>
    </row>
    <row r="44" spans="1:5" x14ac:dyDescent="0.25">
      <c r="A44" s="133" t="s">
        <v>191</v>
      </c>
      <c r="B44" s="72"/>
      <c r="C44" s="72"/>
      <c r="D44" s="151">
        <v>0</v>
      </c>
      <c r="E44" s="151">
        <v>0</v>
      </c>
    </row>
    <row r="45" spans="1:5" x14ac:dyDescent="0.25">
      <c r="A45" s="133"/>
      <c r="B45" s="72"/>
      <c r="C45" s="72"/>
      <c r="D45" s="151"/>
      <c r="E45" s="151"/>
    </row>
    <row r="46" spans="1:5" x14ac:dyDescent="0.25">
      <c r="A46" s="271" t="s">
        <v>16</v>
      </c>
      <c r="B46" s="272"/>
      <c r="C46" s="273"/>
      <c r="D46" s="152">
        <f>SUM(D41:D42)</f>
        <v>0</v>
      </c>
      <c r="E46" s="152">
        <f>SUM(E41:E42)</f>
        <v>0</v>
      </c>
    </row>
    <row r="49" spans="1:9" x14ac:dyDescent="0.25">
      <c r="A49" s="37" t="s">
        <v>199</v>
      </c>
      <c r="B49" s="149"/>
      <c r="C49" s="149"/>
      <c r="D49" s="149"/>
      <c r="E49" s="149"/>
    </row>
    <row r="50" spans="1:9" ht="30" x14ac:dyDescent="0.25">
      <c r="A50" s="315" t="s">
        <v>0</v>
      </c>
      <c r="B50" s="316"/>
      <c r="C50" s="316"/>
      <c r="D50" s="99" t="s">
        <v>15</v>
      </c>
      <c r="E50" s="99" t="s">
        <v>15</v>
      </c>
    </row>
    <row r="51" spans="1:9" x14ac:dyDescent="0.25">
      <c r="A51" s="131"/>
      <c r="B51" s="72"/>
      <c r="C51" s="72"/>
      <c r="D51" s="150"/>
      <c r="E51" s="150"/>
    </row>
    <row r="52" spans="1:9" x14ac:dyDescent="0.25">
      <c r="A52" s="131" t="s">
        <v>193</v>
      </c>
      <c r="B52" s="72"/>
      <c r="C52" s="72"/>
      <c r="D52" s="151"/>
      <c r="E52" s="151"/>
      <c r="I52" s="155"/>
    </row>
    <row r="53" spans="1:9" x14ac:dyDescent="0.25">
      <c r="A53" s="133" t="s">
        <v>194</v>
      </c>
      <c r="B53" s="72"/>
      <c r="C53" s="72"/>
      <c r="D53" s="151">
        <v>0</v>
      </c>
      <c r="E53" s="151">
        <v>0</v>
      </c>
    </row>
    <row r="54" spans="1:9" x14ac:dyDescent="0.25">
      <c r="A54" s="133" t="s">
        <v>197</v>
      </c>
      <c r="B54" s="72"/>
      <c r="C54" s="72"/>
      <c r="D54" s="151">
        <v>0</v>
      </c>
      <c r="E54" s="151">
        <v>0</v>
      </c>
    </row>
    <row r="55" spans="1:9" x14ac:dyDescent="0.25">
      <c r="A55" s="133"/>
      <c r="B55" s="72"/>
      <c r="C55" s="72"/>
      <c r="D55" s="156"/>
      <c r="E55" s="156"/>
    </row>
    <row r="56" spans="1:9" x14ac:dyDescent="0.25">
      <c r="A56" s="131" t="s">
        <v>195</v>
      </c>
      <c r="B56" s="72"/>
      <c r="C56" s="72"/>
      <c r="D56" s="151"/>
      <c r="E56" s="151"/>
    </row>
    <row r="57" spans="1:9" x14ac:dyDescent="0.25">
      <c r="A57" s="131" t="s">
        <v>196</v>
      </c>
      <c r="B57" s="72"/>
      <c r="C57" s="72"/>
      <c r="D57" s="151"/>
      <c r="E57" s="151"/>
      <c r="I57" s="155"/>
    </row>
    <row r="58" spans="1:9" x14ac:dyDescent="0.25">
      <c r="A58" s="133" t="s">
        <v>194</v>
      </c>
      <c r="B58" s="72"/>
      <c r="C58" s="72"/>
      <c r="D58" s="151">
        <v>0</v>
      </c>
      <c r="E58" s="151">
        <v>0</v>
      </c>
    </row>
    <row r="59" spans="1:9" x14ac:dyDescent="0.25">
      <c r="A59" s="133" t="s">
        <v>197</v>
      </c>
      <c r="B59" s="72"/>
      <c r="C59" s="72"/>
      <c r="D59" s="151">
        <v>0</v>
      </c>
      <c r="E59" s="151">
        <v>0</v>
      </c>
    </row>
    <row r="60" spans="1:9" x14ac:dyDescent="0.25">
      <c r="A60" s="131" t="s">
        <v>195</v>
      </c>
      <c r="B60" s="72"/>
      <c r="C60" s="72"/>
      <c r="D60" s="156"/>
      <c r="E60" s="156"/>
    </row>
    <row r="61" spans="1:9" x14ac:dyDescent="0.25">
      <c r="A61" s="131"/>
      <c r="B61" s="72"/>
      <c r="C61" s="72"/>
      <c r="D61" s="151"/>
      <c r="E61" s="151"/>
    </row>
    <row r="62" spans="1:9" x14ac:dyDescent="0.25">
      <c r="A62" s="131" t="s">
        <v>198</v>
      </c>
      <c r="B62" s="72"/>
      <c r="C62" s="72"/>
      <c r="D62" s="151"/>
      <c r="E62" s="151"/>
    </row>
    <row r="63" spans="1:9" x14ac:dyDescent="0.25">
      <c r="A63" s="133" t="s">
        <v>194</v>
      </c>
      <c r="B63" s="72"/>
      <c r="C63" s="72"/>
      <c r="D63" s="151">
        <v>0</v>
      </c>
      <c r="E63" s="151">
        <v>0</v>
      </c>
    </row>
    <row r="64" spans="1:9" x14ac:dyDescent="0.25">
      <c r="A64" s="133" t="s">
        <v>197</v>
      </c>
      <c r="B64" s="72"/>
      <c r="C64" s="72"/>
      <c r="D64" s="151">
        <v>0</v>
      </c>
      <c r="E64" s="151">
        <v>0</v>
      </c>
    </row>
    <row r="65" spans="1:9" x14ac:dyDescent="0.25">
      <c r="A65" s="133"/>
      <c r="B65" s="72"/>
      <c r="C65" s="72"/>
      <c r="D65" s="156"/>
      <c r="E65" s="156"/>
    </row>
    <row r="66" spans="1:9" x14ac:dyDescent="0.25">
      <c r="A66" s="133"/>
      <c r="B66" s="72"/>
      <c r="C66" s="72"/>
      <c r="D66" s="151"/>
      <c r="E66" s="151"/>
    </row>
    <row r="67" spans="1:9" x14ac:dyDescent="0.25">
      <c r="A67" s="271" t="s">
        <v>16</v>
      </c>
      <c r="B67" s="272"/>
      <c r="C67" s="273"/>
      <c r="D67" s="152">
        <f>+D55+D60+D65</f>
        <v>0</v>
      </c>
      <c r="E67" s="152">
        <f>+E55+E60+E65</f>
        <v>0</v>
      </c>
    </row>
    <row r="70" spans="1:9" x14ac:dyDescent="0.25">
      <c r="A70" s="149" t="s">
        <v>200</v>
      </c>
      <c r="B70" s="149"/>
      <c r="C70" s="149"/>
      <c r="D70" s="149"/>
      <c r="E70" s="149"/>
    </row>
    <row r="71" spans="1:9" ht="30" x14ac:dyDescent="0.25">
      <c r="A71" s="315" t="s">
        <v>0</v>
      </c>
      <c r="B71" s="316"/>
      <c r="C71" s="316"/>
      <c r="D71" s="99" t="s">
        <v>15</v>
      </c>
      <c r="E71" s="99" t="s">
        <v>15</v>
      </c>
    </row>
    <row r="72" spans="1:9" x14ac:dyDescent="0.25">
      <c r="A72" s="131"/>
      <c r="B72" s="72"/>
      <c r="C72" s="72"/>
      <c r="D72" s="150"/>
      <c r="E72" s="150"/>
      <c r="I72" s="155"/>
    </row>
    <row r="73" spans="1:9" x14ac:dyDescent="0.25">
      <c r="A73" s="133" t="s">
        <v>201</v>
      </c>
      <c r="B73" s="72"/>
      <c r="C73" s="72"/>
      <c r="D73" s="151">
        <v>0</v>
      </c>
      <c r="E73" s="151">
        <v>0</v>
      </c>
    </row>
    <row r="74" spans="1:9" x14ac:dyDescent="0.25">
      <c r="A74" s="133" t="s">
        <v>202</v>
      </c>
      <c r="B74" s="72"/>
      <c r="C74" s="72"/>
      <c r="D74" s="151">
        <v>0</v>
      </c>
      <c r="E74" s="151">
        <v>0</v>
      </c>
    </row>
    <row r="75" spans="1:9" x14ac:dyDescent="0.25">
      <c r="A75" s="133" t="s">
        <v>203</v>
      </c>
      <c r="B75" s="72"/>
      <c r="C75" s="72"/>
      <c r="D75" s="151">
        <v>0</v>
      </c>
      <c r="E75" s="151">
        <v>0</v>
      </c>
    </row>
    <row r="76" spans="1:9" x14ac:dyDescent="0.25">
      <c r="A76" s="133" t="s">
        <v>204</v>
      </c>
      <c r="B76" s="72"/>
      <c r="C76" s="72"/>
      <c r="D76" s="151">
        <v>0</v>
      </c>
      <c r="E76" s="151">
        <v>0</v>
      </c>
    </row>
    <row r="77" spans="1:9" x14ac:dyDescent="0.25">
      <c r="A77" s="133" t="s">
        <v>205</v>
      </c>
      <c r="B77" s="72"/>
      <c r="C77" s="72"/>
      <c r="D77" s="151">
        <v>0</v>
      </c>
      <c r="E77" s="151">
        <v>0</v>
      </c>
    </row>
    <row r="78" spans="1:9" x14ac:dyDescent="0.25">
      <c r="A78" s="133"/>
      <c r="B78" s="72"/>
      <c r="C78" s="72"/>
      <c r="D78" s="151"/>
      <c r="E78" s="151"/>
    </row>
    <row r="79" spans="1:9" x14ac:dyDescent="0.25">
      <c r="A79" s="271" t="s">
        <v>16</v>
      </c>
      <c r="B79" s="272"/>
      <c r="C79" s="273"/>
      <c r="D79" s="152">
        <f>+SUM(D73:D77)</f>
        <v>0</v>
      </c>
      <c r="E79" s="152">
        <f>+SUM(E73:E77)</f>
        <v>0</v>
      </c>
    </row>
    <row r="82" spans="1:5" x14ac:dyDescent="0.25">
      <c r="A82" s="149" t="s">
        <v>209</v>
      </c>
      <c r="B82" s="149"/>
      <c r="C82" s="149"/>
      <c r="D82" s="149"/>
      <c r="E82" s="149"/>
    </row>
    <row r="83" spans="1:5" ht="30" x14ac:dyDescent="0.25">
      <c r="A83" s="315" t="s">
        <v>0</v>
      </c>
      <c r="B83" s="316"/>
      <c r="C83" s="316"/>
      <c r="D83" s="99" t="s">
        <v>15</v>
      </c>
      <c r="E83" s="99" t="s">
        <v>15</v>
      </c>
    </row>
    <row r="84" spans="1:5" x14ac:dyDescent="0.25">
      <c r="A84" s="131"/>
      <c r="B84" s="72"/>
      <c r="C84" s="72"/>
      <c r="D84" s="150"/>
      <c r="E84" s="150"/>
    </row>
    <row r="85" spans="1:5" x14ac:dyDescent="0.25">
      <c r="A85" s="133" t="s">
        <v>206</v>
      </c>
      <c r="B85" s="72"/>
      <c r="C85" s="72"/>
      <c r="D85" s="151">
        <v>0</v>
      </c>
      <c r="E85" s="151">
        <v>0</v>
      </c>
    </row>
    <row r="86" spans="1:5" x14ac:dyDescent="0.25">
      <c r="A86" s="133" t="s">
        <v>207</v>
      </c>
      <c r="B86" s="72"/>
      <c r="C86" s="72"/>
      <c r="D86" s="151">
        <v>0</v>
      </c>
      <c r="E86" s="151">
        <v>0</v>
      </c>
    </row>
    <row r="87" spans="1:5" x14ac:dyDescent="0.25">
      <c r="A87" s="157" t="s">
        <v>208</v>
      </c>
      <c r="B87" s="72"/>
      <c r="C87" s="72"/>
      <c r="D87" s="151">
        <v>0</v>
      </c>
      <c r="E87" s="151">
        <v>0</v>
      </c>
    </row>
    <row r="88" spans="1:5" x14ac:dyDescent="0.25">
      <c r="A88" s="133"/>
      <c r="B88" s="72"/>
      <c r="C88" s="72"/>
      <c r="D88" s="151"/>
      <c r="E88" s="151"/>
    </row>
    <row r="89" spans="1:5" x14ac:dyDescent="0.25">
      <c r="A89" s="271" t="s">
        <v>16</v>
      </c>
      <c r="B89" s="272"/>
      <c r="C89" s="273"/>
      <c r="D89" s="152">
        <f>+SUM(D85:D87)</f>
        <v>0</v>
      </c>
      <c r="E89" s="152">
        <f>+SUM(E85:E87)</f>
        <v>0</v>
      </c>
    </row>
    <row r="92" spans="1:5" x14ac:dyDescent="0.25">
      <c r="A92" s="149" t="s">
        <v>210</v>
      </c>
      <c r="B92" s="149"/>
      <c r="C92" s="149"/>
      <c r="D92" s="149"/>
      <c r="E92" s="149"/>
    </row>
    <row r="93" spans="1:5" ht="30" x14ac:dyDescent="0.25">
      <c r="A93" s="315" t="s">
        <v>0</v>
      </c>
      <c r="B93" s="316"/>
      <c r="C93" s="316"/>
      <c r="D93" s="99" t="s">
        <v>15</v>
      </c>
      <c r="E93" s="99" t="s">
        <v>15</v>
      </c>
    </row>
    <row r="94" spans="1:5" x14ac:dyDescent="0.25">
      <c r="A94" s="131"/>
      <c r="B94" s="72"/>
      <c r="C94" s="72"/>
      <c r="D94" s="150"/>
      <c r="E94" s="150"/>
    </row>
    <row r="95" spans="1:5" x14ac:dyDescent="0.25">
      <c r="A95" s="133" t="s">
        <v>234</v>
      </c>
      <c r="B95" s="72"/>
      <c r="C95" s="72"/>
      <c r="D95" s="150">
        <v>0</v>
      </c>
      <c r="E95" s="150">
        <v>0</v>
      </c>
    </row>
    <row r="96" spans="1:5" x14ac:dyDescent="0.25">
      <c r="A96" s="133" t="s">
        <v>235</v>
      </c>
      <c r="B96" s="72"/>
      <c r="C96" s="72"/>
      <c r="D96" s="150"/>
      <c r="E96" s="150"/>
    </row>
    <row r="97" spans="1:7" x14ac:dyDescent="0.25">
      <c r="A97" s="133" t="s">
        <v>236</v>
      </c>
      <c r="B97" s="72"/>
      <c r="C97" s="72"/>
      <c r="D97" s="150">
        <v>0</v>
      </c>
      <c r="E97" s="150">
        <v>0</v>
      </c>
    </row>
    <row r="98" spans="1:7" x14ac:dyDescent="0.25">
      <c r="A98" s="133" t="s">
        <v>237</v>
      </c>
      <c r="B98" s="72"/>
      <c r="C98" s="72"/>
      <c r="D98" s="150">
        <v>0</v>
      </c>
      <c r="E98" s="150">
        <v>0</v>
      </c>
    </row>
    <row r="99" spans="1:7" x14ac:dyDescent="0.25">
      <c r="A99" s="133" t="s">
        <v>238</v>
      </c>
      <c r="B99" s="72"/>
      <c r="C99" s="72"/>
      <c r="D99" s="150">
        <v>0</v>
      </c>
      <c r="E99" s="150">
        <v>0</v>
      </c>
    </row>
    <row r="100" spans="1:7" x14ac:dyDescent="0.25">
      <c r="A100" s="133" t="s">
        <v>218</v>
      </c>
      <c r="B100" s="72"/>
      <c r="C100" s="72"/>
      <c r="D100" s="150">
        <v>0</v>
      </c>
      <c r="E100" s="150">
        <v>0</v>
      </c>
      <c r="G100" s="158"/>
    </row>
    <row r="101" spans="1:7" x14ac:dyDescent="0.25">
      <c r="A101" s="133" t="s">
        <v>226</v>
      </c>
      <c r="B101" s="72"/>
      <c r="C101" s="72"/>
      <c r="D101" s="150">
        <v>0</v>
      </c>
      <c r="E101" s="150">
        <v>0</v>
      </c>
      <c r="G101" s="158"/>
    </row>
    <row r="102" spans="1:7" x14ac:dyDescent="0.25">
      <c r="A102" s="133" t="s">
        <v>228</v>
      </c>
      <c r="B102" s="72"/>
      <c r="C102" s="72"/>
      <c r="D102" s="150">
        <v>0</v>
      </c>
      <c r="E102" s="150">
        <v>0</v>
      </c>
      <c r="G102" s="158"/>
    </row>
    <row r="103" spans="1:7" x14ac:dyDescent="0.25">
      <c r="A103" s="133" t="s">
        <v>227</v>
      </c>
      <c r="B103" s="72"/>
      <c r="C103" s="72"/>
      <c r="D103" s="150">
        <v>0</v>
      </c>
      <c r="E103" s="150">
        <v>0</v>
      </c>
      <c r="G103" s="158"/>
    </row>
    <row r="104" spans="1:7" x14ac:dyDescent="0.25">
      <c r="A104" s="133" t="s">
        <v>229</v>
      </c>
      <c r="B104" s="72"/>
      <c r="C104" s="72"/>
      <c r="D104" s="150">
        <v>0</v>
      </c>
      <c r="E104" s="150">
        <v>0</v>
      </c>
      <c r="G104" s="158"/>
    </row>
    <row r="105" spans="1:7" x14ac:dyDescent="0.25">
      <c r="A105" s="133" t="s">
        <v>232</v>
      </c>
      <c r="B105" s="72"/>
      <c r="C105" s="72"/>
      <c r="D105" s="150">
        <v>0</v>
      </c>
      <c r="E105" s="150">
        <v>0</v>
      </c>
      <c r="G105" s="158"/>
    </row>
    <row r="106" spans="1:7" x14ac:dyDescent="0.25">
      <c r="A106" s="133" t="s">
        <v>231</v>
      </c>
      <c r="B106" s="72"/>
      <c r="C106" s="72"/>
      <c r="D106" s="150">
        <v>0</v>
      </c>
      <c r="E106" s="150">
        <v>0</v>
      </c>
      <c r="G106" s="158"/>
    </row>
    <row r="107" spans="1:7" x14ac:dyDescent="0.25">
      <c r="A107" s="133" t="s">
        <v>230</v>
      </c>
      <c r="B107" s="72"/>
      <c r="C107" s="72"/>
      <c r="D107" s="151"/>
      <c r="E107" s="151"/>
      <c r="G107" s="158"/>
    </row>
    <row r="108" spans="1:7" x14ac:dyDescent="0.25">
      <c r="A108" s="133" t="s">
        <v>211</v>
      </c>
      <c r="B108" s="72"/>
      <c r="C108" s="72"/>
      <c r="D108" s="150">
        <v>0</v>
      </c>
      <c r="E108" s="150">
        <v>0</v>
      </c>
      <c r="G108" s="158"/>
    </row>
    <row r="109" spans="1:7" x14ac:dyDescent="0.25">
      <c r="A109" s="133" t="s">
        <v>212</v>
      </c>
      <c r="B109" s="72"/>
      <c r="C109" s="72"/>
      <c r="D109" s="150">
        <v>0</v>
      </c>
      <c r="E109" s="150">
        <v>0</v>
      </c>
      <c r="G109" s="158"/>
    </row>
    <row r="110" spans="1:7" x14ac:dyDescent="0.25">
      <c r="A110" s="133" t="s">
        <v>213</v>
      </c>
      <c r="B110" s="72"/>
      <c r="C110" s="72"/>
      <c r="D110" s="150">
        <v>0</v>
      </c>
      <c r="E110" s="150">
        <v>0</v>
      </c>
      <c r="G110" s="158"/>
    </row>
    <row r="111" spans="1:7" x14ac:dyDescent="0.25">
      <c r="A111" s="133" t="s">
        <v>214</v>
      </c>
      <c r="B111" s="72"/>
      <c r="C111" s="72"/>
      <c r="D111" s="150">
        <v>0</v>
      </c>
      <c r="E111" s="150">
        <v>0</v>
      </c>
      <c r="G111" s="158"/>
    </row>
    <row r="112" spans="1:7" x14ac:dyDescent="0.25">
      <c r="A112" s="133" t="s">
        <v>215</v>
      </c>
      <c r="B112" s="72"/>
      <c r="C112" s="72"/>
      <c r="D112" s="150">
        <v>0</v>
      </c>
      <c r="E112" s="150">
        <v>0</v>
      </c>
      <c r="G112" s="158"/>
    </row>
    <row r="113" spans="1:7" x14ac:dyDescent="0.25">
      <c r="A113" s="133" t="s">
        <v>216</v>
      </c>
      <c r="B113" s="72"/>
      <c r="C113" s="72"/>
      <c r="D113" s="150">
        <v>0</v>
      </c>
      <c r="E113" s="150">
        <v>0</v>
      </c>
      <c r="G113" s="158"/>
    </row>
    <row r="114" spans="1:7" x14ac:dyDescent="0.25">
      <c r="A114" s="133" t="s">
        <v>217</v>
      </c>
      <c r="B114" s="72"/>
      <c r="C114" s="72"/>
      <c r="D114" s="150">
        <v>0</v>
      </c>
      <c r="E114" s="150">
        <v>0</v>
      </c>
      <c r="G114" s="158"/>
    </row>
    <row r="115" spans="1:7" x14ac:dyDescent="0.25">
      <c r="A115" s="133" t="s">
        <v>219</v>
      </c>
      <c r="B115" s="72"/>
      <c r="C115" s="72"/>
      <c r="D115" s="150">
        <v>0</v>
      </c>
      <c r="E115" s="150">
        <v>0</v>
      </c>
      <c r="G115" s="158"/>
    </row>
    <row r="116" spans="1:7" x14ac:dyDescent="0.25">
      <c r="A116" s="157" t="s">
        <v>239</v>
      </c>
      <c r="B116" s="72"/>
      <c r="C116" s="72"/>
      <c r="D116" s="150">
        <v>0</v>
      </c>
      <c r="E116" s="150">
        <v>0</v>
      </c>
      <c r="G116" s="158"/>
    </row>
    <row r="117" spans="1:7" x14ac:dyDescent="0.25">
      <c r="A117" s="133" t="s">
        <v>220</v>
      </c>
      <c r="B117" s="72"/>
      <c r="C117" s="72"/>
      <c r="D117" s="150">
        <v>0</v>
      </c>
      <c r="E117" s="150">
        <v>0</v>
      </c>
      <c r="G117" s="158"/>
    </row>
    <row r="118" spans="1:7" x14ac:dyDescent="0.25">
      <c r="A118" s="133" t="s">
        <v>221</v>
      </c>
      <c r="B118" s="72"/>
      <c r="C118" s="72"/>
      <c r="D118" s="150">
        <v>0</v>
      </c>
      <c r="E118" s="150">
        <v>0</v>
      </c>
      <c r="G118" s="158"/>
    </row>
    <row r="119" spans="1:7" x14ac:dyDescent="0.25">
      <c r="A119" s="133" t="s">
        <v>222</v>
      </c>
      <c r="B119" s="72"/>
      <c r="C119" s="72"/>
      <c r="D119" s="150">
        <v>0</v>
      </c>
      <c r="E119" s="150">
        <v>0</v>
      </c>
      <c r="G119" s="158"/>
    </row>
    <row r="120" spans="1:7" x14ac:dyDescent="0.25">
      <c r="A120" s="133" t="s">
        <v>223</v>
      </c>
      <c r="B120" s="72"/>
      <c r="C120" s="72"/>
      <c r="D120" s="150">
        <v>0</v>
      </c>
      <c r="E120" s="150">
        <v>0</v>
      </c>
      <c r="G120" s="159"/>
    </row>
    <row r="121" spans="1:7" x14ac:dyDescent="0.25">
      <c r="A121" s="133" t="s">
        <v>233</v>
      </c>
      <c r="B121" s="72"/>
      <c r="C121" s="72"/>
      <c r="D121" s="150">
        <v>0</v>
      </c>
      <c r="E121" s="150">
        <v>0</v>
      </c>
      <c r="G121" s="159"/>
    </row>
    <row r="122" spans="1:7" x14ac:dyDescent="0.25">
      <c r="A122" s="133" t="s">
        <v>240</v>
      </c>
      <c r="B122" s="72"/>
      <c r="C122" s="72"/>
      <c r="D122" s="150">
        <v>0</v>
      </c>
      <c r="E122" s="150">
        <v>0</v>
      </c>
      <c r="G122" s="158"/>
    </row>
    <row r="123" spans="1:7" x14ac:dyDescent="0.25">
      <c r="A123" s="133" t="s">
        <v>224</v>
      </c>
      <c r="B123" s="72"/>
      <c r="C123" s="72"/>
      <c r="D123" s="150">
        <v>0</v>
      </c>
      <c r="E123" s="150">
        <v>0</v>
      </c>
      <c r="G123" s="159"/>
    </row>
    <row r="124" spans="1:7" x14ac:dyDescent="0.25">
      <c r="A124" s="133" t="s">
        <v>225</v>
      </c>
      <c r="B124" s="72"/>
      <c r="C124" s="72"/>
      <c r="D124" s="150">
        <v>0</v>
      </c>
      <c r="E124" s="150">
        <v>0</v>
      </c>
      <c r="G124" s="158"/>
    </row>
    <row r="125" spans="1:7" x14ac:dyDescent="0.25">
      <c r="A125" s="133" t="s">
        <v>241</v>
      </c>
      <c r="B125" s="72"/>
      <c r="C125" s="72"/>
      <c r="D125" s="150">
        <v>0</v>
      </c>
      <c r="E125" s="150">
        <v>0</v>
      </c>
      <c r="G125" s="159"/>
    </row>
    <row r="126" spans="1:7" x14ac:dyDescent="0.25">
      <c r="A126" s="133"/>
      <c r="B126" s="72"/>
      <c r="C126" s="72"/>
      <c r="D126" s="151"/>
      <c r="E126" s="151"/>
    </row>
    <row r="127" spans="1:7" x14ac:dyDescent="0.25">
      <c r="A127" s="271" t="s">
        <v>16</v>
      </c>
      <c r="B127" s="272"/>
      <c r="C127" s="273"/>
      <c r="D127" s="152">
        <f>+SUM(D100:D107)</f>
        <v>0</v>
      </c>
      <c r="E127" s="152">
        <f>+SUM(E100:E107)</f>
        <v>0</v>
      </c>
    </row>
  </sheetData>
  <mergeCells count="15">
    <mergeCell ref="A39:C39"/>
    <mergeCell ref="A7:C7"/>
    <mergeCell ref="A18:C18"/>
    <mergeCell ref="A1:E1"/>
    <mergeCell ref="A22:C22"/>
    <mergeCell ref="A35:C35"/>
    <mergeCell ref="A89:C89"/>
    <mergeCell ref="A93:C93"/>
    <mergeCell ref="A127:C127"/>
    <mergeCell ref="A46:C46"/>
    <mergeCell ref="A50:C50"/>
    <mergeCell ref="A67:C67"/>
    <mergeCell ref="A71:C71"/>
    <mergeCell ref="A79:C79"/>
    <mergeCell ref="A83:C83"/>
  </mergeCells>
  <pageMargins left="0.7" right="0.41" top="0.75" bottom="0.75" header="0.3" footer="0.3"/>
  <pageSetup scale="80" orientation="portrait" r:id="rId1"/>
  <rowBreaks count="2" manualBreakCount="2">
    <brk id="48" max="16383" man="1"/>
    <brk id="90"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1"/>
  <sheetViews>
    <sheetView topLeftCell="A3" workbookViewId="0">
      <selection activeCell="A120" sqref="A120"/>
    </sheetView>
  </sheetViews>
  <sheetFormatPr defaultRowHeight="15" x14ac:dyDescent="0.25"/>
  <cols>
    <col min="1" max="1" width="7" customWidth="1"/>
    <col min="2" max="2" width="31.85546875" style="186" customWidth="1"/>
    <col min="3" max="3" width="39.140625" style="186" customWidth="1"/>
    <col min="4" max="4" width="40.85546875" style="186" customWidth="1"/>
    <col min="5" max="6" width="23" customWidth="1"/>
    <col min="7" max="7" width="15.5703125" bestFit="1" customWidth="1"/>
  </cols>
  <sheetData>
    <row r="1" spans="1:7" ht="16.5" x14ac:dyDescent="0.3">
      <c r="A1" s="317" t="s">
        <v>380</v>
      </c>
      <c r="B1" s="317"/>
      <c r="C1" s="317"/>
      <c r="D1" s="317"/>
      <c r="E1" s="317"/>
      <c r="F1" s="317"/>
      <c r="G1" s="317"/>
    </row>
    <row r="2" spans="1:7" ht="17.25" thickBot="1" x14ac:dyDescent="0.35">
      <c r="A2" s="176"/>
      <c r="B2" s="177"/>
      <c r="C2" s="177"/>
      <c r="D2" s="177"/>
      <c r="E2" s="176"/>
      <c r="F2" s="176"/>
      <c r="G2" s="178" t="s">
        <v>370</v>
      </c>
    </row>
    <row r="3" spans="1:7" ht="22.5" customHeight="1" thickTop="1" x14ac:dyDescent="0.25">
      <c r="A3" s="318" t="s">
        <v>294</v>
      </c>
      <c r="B3" s="320" t="s">
        <v>0</v>
      </c>
      <c r="C3" s="320" t="s">
        <v>348</v>
      </c>
      <c r="D3" s="320" t="s">
        <v>349</v>
      </c>
      <c r="E3" s="322" t="s">
        <v>381</v>
      </c>
      <c r="F3" s="322"/>
      <c r="G3" s="318" t="s">
        <v>355</v>
      </c>
    </row>
    <row r="4" spans="1:7" ht="16.5" x14ac:dyDescent="0.3">
      <c r="A4" s="319"/>
      <c r="B4" s="321"/>
      <c r="C4" s="321"/>
      <c r="D4" s="321"/>
      <c r="E4" s="187" t="s">
        <v>382</v>
      </c>
      <c r="F4" s="187" t="s">
        <v>383</v>
      </c>
      <c r="G4" s="319"/>
    </row>
    <row r="5" spans="1:7" ht="16.5" x14ac:dyDescent="0.3">
      <c r="A5" s="168"/>
      <c r="B5" s="169"/>
      <c r="C5" s="169"/>
      <c r="D5" s="169"/>
      <c r="E5" s="168"/>
      <c r="F5" s="168"/>
      <c r="G5" s="168"/>
    </row>
    <row r="6" spans="1:7" ht="16.5" x14ac:dyDescent="0.3">
      <c r="A6" s="179" t="s">
        <v>330</v>
      </c>
      <c r="B6" s="180" t="s">
        <v>331</v>
      </c>
      <c r="C6" s="180" t="s">
        <v>350</v>
      </c>
      <c r="D6" s="180" t="s">
        <v>351</v>
      </c>
      <c r="E6" s="181">
        <v>0</v>
      </c>
      <c r="F6" s="181">
        <v>0</v>
      </c>
      <c r="G6" s="182">
        <v>0</v>
      </c>
    </row>
    <row r="7" spans="1:7" ht="16.5" x14ac:dyDescent="0.3">
      <c r="A7" s="168"/>
      <c r="B7" s="169"/>
      <c r="C7" s="169"/>
      <c r="D7" s="169"/>
      <c r="E7" s="183"/>
      <c r="F7" s="183"/>
      <c r="G7" s="183"/>
    </row>
    <row r="8" spans="1:7" ht="33" x14ac:dyDescent="0.3">
      <c r="A8" s="179" t="s">
        <v>332</v>
      </c>
      <c r="B8" s="180" t="s">
        <v>333</v>
      </c>
      <c r="C8" s="180" t="s">
        <v>352</v>
      </c>
      <c r="D8" s="180" t="s">
        <v>371</v>
      </c>
      <c r="E8" s="181">
        <v>0</v>
      </c>
      <c r="F8" s="181">
        <v>0</v>
      </c>
      <c r="G8" s="182">
        <v>0</v>
      </c>
    </row>
    <row r="9" spans="1:7" ht="16.5" x14ac:dyDescent="0.3">
      <c r="A9" s="168"/>
      <c r="B9" s="169"/>
      <c r="C9" s="169"/>
      <c r="D9" s="169"/>
      <c r="E9" s="183"/>
      <c r="F9" s="183"/>
      <c r="G9" s="183"/>
    </row>
    <row r="10" spans="1:7" ht="16.5" x14ac:dyDescent="0.3">
      <c r="A10" s="179" t="s">
        <v>334</v>
      </c>
      <c r="B10" s="180" t="s">
        <v>335</v>
      </c>
      <c r="C10" s="180" t="s">
        <v>372</v>
      </c>
      <c r="D10" s="180" t="s">
        <v>373</v>
      </c>
      <c r="E10" s="181">
        <v>0</v>
      </c>
      <c r="F10" s="181">
        <v>0</v>
      </c>
      <c r="G10" s="181">
        <v>0</v>
      </c>
    </row>
    <row r="11" spans="1:7" ht="16.5" x14ac:dyDescent="0.3">
      <c r="A11" s="168"/>
      <c r="B11" s="169"/>
      <c r="C11" s="169"/>
      <c r="D11" s="169"/>
      <c r="E11" s="183"/>
      <c r="F11" s="183"/>
      <c r="G11" s="183"/>
    </row>
    <row r="12" spans="1:7" ht="33" x14ac:dyDescent="0.3">
      <c r="A12" s="179" t="s">
        <v>336</v>
      </c>
      <c r="B12" s="180" t="s">
        <v>337</v>
      </c>
      <c r="C12" s="180" t="s">
        <v>353</v>
      </c>
      <c r="D12" s="180" t="s">
        <v>374</v>
      </c>
      <c r="E12" s="181">
        <v>0</v>
      </c>
      <c r="F12" s="181">
        <v>0</v>
      </c>
      <c r="G12" s="182">
        <v>0</v>
      </c>
    </row>
    <row r="13" spans="1:7" ht="16.5" x14ac:dyDescent="0.3">
      <c r="A13" s="168"/>
      <c r="B13" s="169"/>
      <c r="C13" s="169"/>
      <c r="D13" s="169"/>
      <c r="E13" s="183"/>
      <c r="F13" s="183"/>
      <c r="G13" s="183"/>
    </row>
    <row r="14" spans="1:7" ht="33" x14ac:dyDescent="0.3">
      <c r="A14" s="179" t="s">
        <v>338</v>
      </c>
      <c r="B14" s="180" t="s">
        <v>356</v>
      </c>
      <c r="C14" s="180" t="s">
        <v>358</v>
      </c>
      <c r="D14" s="180" t="s">
        <v>375</v>
      </c>
      <c r="E14" s="181">
        <v>0</v>
      </c>
      <c r="F14" s="181">
        <v>0</v>
      </c>
      <c r="G14" s="181">
        <v>0</v>
      </c>
    </row>
    <row r="15" spans="1:7" ht="16.5" x14ac:dyDescent="0.3">
      <c r="A15" s="168"/>
      <c r="B15" s="169"/>
      <c r="C15" s="169"/>
      <c r="D15" s="169"/>
      <c r="E15" s="183"/>
      <c r="F15" s="183"/>
      <c r="G15" s="183"/>
    </row>
    <row r="16" spans="1:7" ht="33" x14ac:dyDescent="0.3">
      <c r="A16" s="179" t="s">
        <v>340</v>
      </c>
      <c r="B16" s="180" t="s">
        <v>357</v>
      </c>
      <c r="C16" s="180" t="s">
        <v>359</v>
      </c>
      <c r="D16" s="180" t="s">
        <v>376</v>
      </c>
      <c r="E16" s="181">
        <v>0</v>
      </c>
      <c r="F16" s="181">
        <v>0</v>
      </c>
      <c r="G16" s="181">
        <v>0</v>
      </c>
    </row>
    <row r="17" spans="1:7" ht="16.5" x14ac:dyDescent="0.3">
      <c r="A17" s="168"/>
      <c r="B17" s="169"/>
      <c r="C17" s="169"/>
      <c r="D17" s="169"/>
      <c r="E17" s="183"/>
      <c r="F17" s="183"/>
      <c r="G17" s="183"/>
    </row>
    <row r="18" spans="1:7" ht="33" x14ac:dyDescent="0.3">
      <c r="A18" s="179" t="s">
        <v>341</v>
      </c>
      <c r="B18" s="180" t="s">
        <v>360</v>
      </c>
      <c r="C18" s="180" t="s">
        <v>361</v>
      </c>
      <c r="D18" s="180" t="s">
        <v>377</v>
      </c>
      <c r="E18" s="181">
        <v>0</v>
      </c>
      <c r="F18" s="181">
        <v>0</v>
      </c>
      <c r="G18" s="181">
        <v>0</v>
      </c>
    </row>
    <row r="19" spans="1:7" ht="16.5" x14ac:dyDescent="0.3">
      <c r="A19" s="168"/>
      <c r="B19" s="169"/>
      <c r="C19" s="169"/>
      <c r="D19" s="169"/>
      <c r="E19" s="183"/>
      <c r="F19" s="183"/>
      <c r="G19" s="183"/>
    </row>
    <row r="20" spans="1:7" ht="16.5" x14ac:dyDescent="0.3">
      <c r="A20" s="179" t="s">
        <v>342</v>
      </c>
      <c r="B20" s="180" t="s">
        <v>344</v>
      </c>
      <c r="C20" s="180" t="s">
        <v>378</v>
      </c>
      <c r="D20" s="180" t="s">
        <v>354</v>
      </c>
      <c r="E20" s="184">
        <v>0</v>
      </c>
      <c r="F20" s="181">
        <v>0</v>
      </c>
      <c r="G20" s="181">
        <v>0</v>
      </c>
    </row>
    <row r="21" spans="1:7" ht="16.5" x14ac:dyDescent="0.3">
      <c r="A21" s="168"/>
      <c r="B21" s="169"/>
      <c r="C21" s="169"/>
      <c r="D21" s="169"/>
      <c r="E21" s="183"/>
      <c r="F21" s="183"/>
      <c r="G21" s="183"/>
    </row>
    <row r="22" spans="1:7" ht="33" x14ac:dyDescent="0.3">
      <c r="A22" s="179" t="s">
        <v>343</v>
      </c>
      <c r="B22" s="180" t="s">
        <v>363</v>
      </c>
      <c r="C22" s="180" t="s">
        <v>362</v>
      </c>
      <c r="D22" s="180" t="s">
        <v>379</v>
      </c>
      <c r="E22" s="181">
        <v>0</v>
      </c>
      <c r="F22" s="181">
        <v>0</v>
      </c>
      <c r="G22" s="182">
        <v>0</v>
      </c>
    </row>
    <row r="23" spans="1:7" ht="16.5" x14ac:dyDescent="0.3">
      <c r="A23" s="168"/>
      <c r="B23" s="169"/>
      <c r="C23" s="169"/>
      <c r="D23" s="169"/>
      <c r="E23" s="183"/>
      <c r="F23" s="183"/>
      <c r="G23" s="183"/>
    </row>
    <row r="24" spans="1:7" ht="16.5" x14ac:dyDescent="0.3">
      <c r="A24" s="179" t="s">
        <v>345</v>
      </c>
      <c r="B24" s="180" t="s">
        <v>339</v>
      </c>
      <c r="C24" s="180" t="s">
        <v>364</v>
      </c>
      <c r="D24" s="180" t="s">
        <v>365</v>
      </c>
      <c r="E24" s="181">
        <v>0</v>
      </c>
      <c r="F24" s="181">
        <v>0</v>
      </c>
      <c r="G24" s="181">
        <v>0</v>
      </c>
    </row>
    <row r="25" spans="1:7" ht="16.5" x14ac:dyDescent="0.3">
      <c r="A25" s="168"/>
      <c r="B25" s="169"/>
      <c r="C25" s="169"/>
      <c r="D25" s="169"/>
      <c r="E25" s="183"/>
      <c r="F25" s="183"/>
      <c r="G25" s="183"/>
    </row>
    <row r="26" spans="1:7" ht="16.5" x14ac:dyDescent="0.3">
      <c r="A26" s="179" t="s">
        <v>346</v>
      </c>
      <c r="B26" s="180" t="s">
        <v>347</v>
      </c>
      <c r="C26" s="180"/>
      <c r="D26" s="180"/>
      <c r="E26" s="181"/>
      <c r="F26" s="181"/>
      <c r="G26" s="181"/>
    </row>
    <row r="27" spans="1:7" ht="16.5" x14ac:dyDescent="0.3">
      <c r="A27" s="168"/>
      <c r="B27" s="169"/>
      <c r="C27" s="169"/>
      <c r="D27" s="169"/>
      <c r="E27" s="183"/>
      <c r="F27" s="183"/>
      <c r="G27" s="183"/>
    </row>
    <row r="28" spans="1:7" ht="33" x14ac:dyDescent="0.3">
      <c r="A28" s="179"/>
      <c r="B28" s="180" t="s">
        <v>366</v>
      </c>
      <c r="C28" s="180" t="s">
        <v>368</v>
      </c>
      <c r="D28" s="180" t="s">
        <v>369</v>
      </c>
      <c r="E28" s="181">
        <v>0</v>
      </c>
      <c r="F28" s="181">
        <v>0</v>
      </c>
      <c r="G28" s="181">
        <v>0</v>
      </c>
    </row>
    <row r="29" spans="1:7" ht="16.5" x14ac:dyDescent="0.3">
      <c r="A29" s="168"/>
      <c r="B29" s="169"/>
      <c r="C29" s="169"/>
      <c r="D29" s="169"/>
      <c r="E29" s="183"/>
      <c r="F29" s="183"/>
      <c r="G29" s="183"/>
    </row>
    <row r="30" spans="1:7" ht="33.75" thickBot="1" x14ac:dyDescent="0.35">
      <c r="A30" s="176"/>
      <c r="B30" s="177" t="s">
        <v>367</v>
      </c>
      <c r="C30" s="177" t="s">
        <v>368</v>
      </c>
      <c r="D30" s="177" t="s">
        <v>369</v>
      </c>
      <c r="E30" s="185">
        <v>0</v>
      </c>
      <c r="F30" s="185">
        <v>0</v>
      </c>
      <c r="G30" s="185">
        <v>0</v>
      </c>
    </row>
    <row r="31" spans="1:7" ht="15.75" thickTop="1" x14ac:dyDescent="0.25"/>
  </sheetData>
  <mergeCells count="7">
    <mergeCell ref="A1:G1"/>
    <mergeCell ref="A3:A4"/>
    <mergeCell ref="B3:B4"/>
    <mergeCell ref="C3:C4"/>
    <mergeCell ref="D3:D4"/>
    <mergeCell ref="G3:G4"/>
    <mergeCell ref="E3:F3"/>
  </mergeCells>
  <pageMargins left="0.57999999999999996" right="0.2" top="0.74803149606299213" bottom="0.74803149606299213" header="0.31496062992125984" footer="0.31496062992125984"/>
  <pageSetup paperSize="9" scale="7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F4853-DDA7-4A31-9088-8B2BD5293B5B}">
  <dimension ref="A1:F144"/>
  <sheetViews>
    <sheetView view="pageBreakPreview" zoomScaleNormal="100" zoomScaleSheetLayoutView="100" workbookViewId="0">
      <selection activeCell="A1048576" sqref="A1048576"/>
    </sheetView>
  </sheetViews>
  <sheetFormatPr defaultRowHeight="18" x14ac:dyDescent="0.35"/>
  <cols>
    <col min="1" max="1" width="7.140625" style="188" customWidth="1"/>
    <col min="2" max="2" width="33.42578125" style="188" bestFit="1" customWidth="1"/>
    <col min="3" max="3" width="22.28515625" style="188" customWidth="1"/>
    <col min="4" max="4" width="17.7109375" style="188" customWidth="1"/>
    <col min="5" max="5" width="20.5703125" style="188" customWidth="1"/>
    <col min="6" max="6" width="19.42578125" style="188" customWidth="1"/>
    <col min="7" max="16384" width="9.140625" style="188"/>
  </cols>
  <sheetData>
    <row r="1" spans="1:6" x14ac:dyDescent="0.35">
      <c r="A1" s="324" t="s">
        <v>455</v>
      </c>
      <c r="B1" s="324"/>
      <c r="C1" s="324"/>
      <c r="D1" s="324"/>
      <c r="E1" s="324"/>
      <c r="F1" s="324"/>
    </row>
    <row r="2" spans="1:6" ht="20.25" x14ac:dyDescent="0.35">
      <c r="A2" s="324" t="s">
        <v>395</v>
      </c>
      <c r="B2" s="324"/>
      <c r="C2" s="324"/>
      <c r="D2" s="324"/>
      <c r="E2" s="324"/>
      <c r="F2" s="324"/>
    </row>
    <row r="3" spans="1:6" x14ac:dyDescent="0.35">
      <c r="B3" s="189"/>
    </row>
    <row r="4" spans="1:6" x14ac:dyDescent="0.35">
      <c r="B4" s="189"/>
    </row>
    <row r="5" spans="1:6" x14ac:dyDescent="0.35">
      <c r="A5" s="190" t="s">
        <v>396</v>
      </c>
      <c r="B5" s="190" t="s">
        <v>397</v>
      </c>
    </row>
    <row r="6" spans="1:6" x14ac:dyDescent="0.35">
      <c r="B6" s="191"/>
    </row>
    <row r="7" spans="1:6" x14ac:dyDescent="0.35">
      <c r="A7" s="192" t="s">
        <v>330</v>
      </c>
      <c r="B7" s="190" t="s">
        <v>398</v>
      </c>
    </row>
    <row r="8" spans="1:6" ht="198" customHeight="1" x14ac:dyDescent="0.35">
      <c r="A8" s="192"/>
      <c r="B8" s="323" t="s">
        <v>456</v>
      </c>
      <c r="C8" s="323"/>
      <c r="D8" s="323"/>
      <c r="E8" s="323"/>
      <c r="F8" s="323"/>
    </row>
    <row r="9" spans="1:6" x14ac:dyDescent="0.35">
      <c r="A9" s="192"/>
      <c r="B9" s="189"/>
    </row>
    <row r="10" spans="1:6" x14ac:dyDescent="0.35">
      <c r="A10" s="192" t="s">
        <v>332</v>
      </c>
      <c r="B10" s="190" t="s">
        <v>399</v>
      </c>
    </row>
    <row r="11" spans="1:6" ht="44.25" customHeight="1" x14ac:dyDescent="0.35">
      <c r="A11" s="192"/>
      <c r="B11" s="323" t="s">
        <v>400</v>
      </c>
      <c r="C11" s="323"/>
      <c r="D11" s="323"/>
      <c r="E11" s="323"/>
      <c r="F11" s="323"/>
    </row>
    <row r="12" spans="1:6" x14ac:dyDescent="0.35">
      <c r="A12" s="192"/>
      <c r="B12" s="189"/>
    </row>
    <row r="13" spans="1:6" x14ac:dyDescent="0.35">
      <c r="A13" s="192" t="s">
        <v>401</v>
      </c>
      <c r="B13" s="190" t="s">
        <v>402</v>
      </c>
    </row>
    <row r="14" spans="1:6" ht="126.75" customHeight="1" x14ac:dyDescent="0.35">
      <c r="B14" s="323" t="s">
        <v>403</v>
      </c>
      <c r="C14" s="323"/>
      <c r="D14" s="323"/>
      <c r="E14" s="323"/>
      <c r="F14" s="323"/>
    </row>
    <row r="15" spans="1:6" ht="94.5" customHeight="1" x14ac:dyDescent="0.35">
      <c r="B15" s="325" t="s">
        <v>457</v>
      </c>
      <c r="C15" s="325"/>
      <c r="D15" s="325"/>
      <c r="E15" s="325"/>
      <c r="F15" s="325"/>
    </row>
    <row r="16" spans="1:6" x14ac:dyDescent="0.35">
      <c r="B16" s="189"/>
    </row>
    <row r="17" spans="1:6" x14ac:dyDescent="0.35">
      <c r="A17" s="188" t="s">
        <v>336</v>
      </c>
      <c r="B17" s="190" t="s">
        <v>404</v>
      </c>
    </row>
    <row r="18" spans="1:6" ht="75.75" customHeight="1" x14ac:dyDescent="0.35">
      <c r="B18" s="323" t="s">
        <v>405</v>
      </c>
      <c r="C18" s="323"/>
      <c r="D18" s="323"/>
      <c r="E18" s="323"/>
      <c r="F18" s="323"/>
    </row>
    <row r="19" spans="1:6" ht="55.5" customHeight="1" x14ac:dyDescent="0.35">
      <c r="B19" s="325" t="s">
        <v>406</v>
      </c>
      <c r="C19" s="325"/>
      <c r="D19" s="325"/>
      <c r="E19" s="325"/>
      <c r="F19" s="325"/>
    </row>
    <row r="20" spans="1:6" x14ac:dyDescent="0.35">
      <c r="B20" s="189"/>
    </row>
    <row r="21" spans="1:6" x14ac:dyDescent="0.35">
      <c r="A21" s="188" t="s">
        <v>407</v>
      </c>
      <c r="B21" s="190" t="s">
        <v>408</v>
      </c>
    </row>
    <row r="22" spans="1:6" ht="108" customHeight="1" x14ac:dyDescent="0.35">
      <c r="B22" s="325" t="s">
        <v>409</v>
      </c>
      <c r="C22" s="325"/>
      <c r="D22" s="325"/>
      <c r="E22" s="325"/>
      <c r="F22" s="325"/>
    </row>
    <row r="23" spans="1:6" x14ac:dyDescent="0.35">
      <c r="B23" s="189"/>
    </row>
    <row r="24" spans="1:6" x14ac:dyDescent="0.35">
      <c r="A24" s="188" t="s">
        <v>340</v>
      </c>
      <c r="B24" s="193" t="s">
        <v>410</v>
      </c>
    </row>
    <row r="25" spans="1:6" ht="54" customHeight="1" x14ac:dyDescent="0.35">
      <c r="B25" s="323" t="s">
        <v>411</v>
      </c>
      <c r="C25" s="323"/>
      <c r="D25" s="323"/>
      <c r="E25" s="323"/>
      <c r="F25" s="323"/>
    </row>
    <row r="26" spans="1:6" x14ac:dyDescent="0.35">
      <c r="B26" s="189"/>
    </row>
    <row r="27" spans="1:6" x14ac:dyDescent="0.35">
      <c r="A27" s="188" t="s">
        <v>341</v>
      </c>
      <c r="B27" s="194" t="s">
        <v>412</v>
      </c>
    </row>
    <row r="28" spans="1:6" x14ac:dyDescent="0.35">
      <c r="B28" s="194" t="s">
        <v>413</v>
      </c>
    </row>
    <row r="29" spans="1:6" ht="129" customHeight="1" x14ac:dyDescent="0.35">
      <c r="B29" s="323" t="s">
        <v>414</v>
      </c>
      <c r="C29" s="323"/>
      <c r="D29" s="323"/>
      <c r="E29" s="323"/>
      <c r="F29" s="323"/>
    </row>
    <row r="30" spans="1:6" x14ac:dyDescent="0.35">
      <c r="B30" s="195" t="s">
        <v>140</v>
      </c>
    </row>
    <row r="31" spans="1:6" ht="90" customHeight="1" x14ac:dyDescent="0.35">
      <c r="B31" s="323" t="s">
        <v>415</v>
      </c>
      <c r="C31" s="323"/>
      <c r="D31" s="323"/>
      <c r="E31" s="323"/>
      <c r="F31" s="323"/>
    </row>
    <row r="32" spans="1:6" ht="57" customHeight="1" x14ac:dyDescent="0.35">
      <c r="B32" s="323" t="s">
        <v>416</v>
      </c>
      <c r="C32" s="323"/>
      <c r="D32" s="323"/>
      <c r="E32" s="323"/>
      <c r="F32" s="323"/>
    </row>
    <row r="33" spans="1:6" x14ac:dyDescent="0.35">
      <c r="B33" s="191"/>
    </row>
    <row r="34" spans="1:6" x14ac:dyDescent="0.35">
      <c r="B34" s="326" t="s">
        <v>458</v>
      </c>
      <c r="C34" s="326"/>
      <c r="D34" s="326"/>
      <c r="E34" s="326"/>
      <c r="F34" s="326"/>
    </row>
    <row r="35" spans="1:6" x14ac:dyDescent="0.35">
      <c r="B35" s="208" t="s">
        <v>386</v>
      </c>
      <c r="C35" s="208" t="s">
        <v>459</v>
      </c>
    </row>
    <row r="36" spans="1:6" x14ac:dyDescent="0.35">
      <c r="B36" s="207" t="s">
        <v>460</v>
      </c>
      <c r="C36" s="207" t="s">
        <v>461</v>
      </c>
    </row>
    <row r="37" spans="1:6" x14ac:dyDescent="0.35">
      <c r="B37" s="207" t="s">
        <v>462</v>
      </c>
      <c r="C37" s="207" t="s">
        <v>463</v>
      </c>
    </row>
    <row r="38" spans="1:6" x14ac:dyDescent="0.35">
      <c r="B38" s="207" t="s">
        <v>150</v>
      </c>
      <c r="C38" s="207" t="s">
        <v>464</v>
      </c>
    </row>
    <row r="39" spans="1:6" x14ac:dyDescent="0.35">
      <c r="B39" s="191"/>
    </row>
    <row r="40" spans="1:6" x14ac:dyDescent="0.35">
      <c r="A40" s="188" t="s">
        <v>341</v>
      </c>
      <c r="B40" s="194" t="s">
        <v>465</v>
      </c>
    </row>
    <row r="41" spans="1:6" ht="73.5" customHeight="1" x14ac:dyDescent="0.35">
      <c r="B41" s="323" t="s">
        <v>466</v>
      </c>
      <c r="C41" s="323"/>
      <c r="D41" s="323"/>
      <c r="E41" s="323"/>
      <c r="F41" s="323"/>
    </row>
    <row r="42" spans="1:6" ht="73.5" customHeight="1" x14ac:dyDescent="0.35">
      <c r="B42" s="323" t="s">
        <v>467</v>
      </c>
      <c r="C42" s="323"/>
      <c r="D42" s="323"/>
      <c r="E42" s="323"/>
      <c r="F42" s="323"/>
    </row>
    <row r="43" spans="1:6" x14ac:dyDescent="0.35">
      <c r="B43" s="191"/>
    </row>
    <row r="44" spans="1:6" x14ac:dyDescent="0.35">
      <c r="A44" s="324" t="s">
        <v>455</v>
      </c>
      <c r="B44" s="324"/>
      <c r="C44" s="324"/>
      <c r="D44" s="324"/>
      <c r="E44" s="324"/>
      <c r="F44" s="324"/>
    </row>
    <row r="45" spans="1:6" ht="20.25" x14ac:dyDescent="0.35">
      <c r="A45" s="330" t="s">
        <v>417</v>
      </c>
      <c r="B45" s="330"/>
      <c r="C45" s="330"/>
      <c r="D45" s="330"/>
      <c r="E45" s="330"/>
      <c r="F45" s="330"/>
    </row>
    <row r="46" spans="1:6" x14ac:dyDescent="0.35">
      <c r="B46" s="191"/>
    </row>
    <row r="47" spans="1:6" x14ac:dyDescent="0.35">
      <c r="B47" s="190" t="s">
        <v>418</v>
      </c>
    </row>
    <row r="48" spans="1:6" x14ac:dyDescent="0.35">
      <c r="B48" s="191"/>
    </row>
    <row r="49" spans="1:6" ht="41.25" customHeight="1" x14ac:dyDescent="0.35">
      <c r="A49" s="196">
        <v>30</v>
      </c>
      <c r="B49" s="323" t="s">
        <v>419</v>
      </c>
      <c r="C49" s="326"/>
      <c r="D49" s="326"/>
      <c r="E49" s="326"/>
      <c r="F49" s="326"/>
    </row>
    <row r="50" spans="1:6" x14ac:dyDescent="0.35">
      <c r="A50" s="196"/>
      <c r="B50" s="197"/>
      <c r="C50" s="198"/>
      <c r="D50" s="198"/>
      <c r="E50" s="198"/>
      <c r="F50" s="198"/>
    </row>
    <row r="51" spans="1:6" ht="40.5" customHeight="1" x14ac:dyDescent="0.35">
      <c r="A51" s="196">
        <f>+A49+1</f>
        <v>31</v>
      </c>
      <c r="B51" s="323" t="s">
        <v>420</v>
      </c>
      <c r="C51" s="326"/>
      <c r="D51" s="326"/>
      <c r="E51" s="326"/>
      <c r="F51" s="326"/>
    </row>
    <row r="52" spans="1:6" x14ac:dyDescent="0.35">
      <c r="A52" s="196"/>
      <c r="B52" s="197"/>
      <c r="C52" s="198"/>
      <c r="D52" s="198"/>
      <c r="E52" s="198"/>
      <c r="F52" s="198"/>
    </row>
    <row r="53" spans="1:6" ht="57" customHeight="1" x14ac:dyDescent="0.35">
      <c r="A53" s="196">
        <f>+A51+1</f>
        <v>32</v>
      </c>
      <c r="B53" s="323" t="s">
        <v>421</v>
      </c>
      <c r="C53" s="326"/>
      <c r="D53" s="326"/>
      <c r="E53" s="326"/>
      <c r="F53" s="326"/>
    </row>
    <row r="54" spans="1:6" x14ac:dyDescent="0.35">
      <c r="A54" s="196"/>
      <c r="B54" s="197"/>
      <c r="C54" s="198"/>
      <c r="D54" s="198"/>
      <c r="E54" s="198"/>
      <c r="F54" s="198"/>
    </row>
    <row r="55" spans="1:6" ht="38.25" customHeight="1" x14ac:dyDescent="0.35">
      <c r="A55" s="196">
        <f>+A53+1</f>
        <v>33</v>
      </c>
      <c r="B55" s="323" t="s">
        <v>422</v>
      </c>
      <c r="C55" s="326"/>
      <c r="D55" s="326"/>
      <c r="E55" s="326"/>
      <c r="F55" s="326"/>
    </row>
    <row r="56" spans="1:6" x14ac:dyDescent="0.35">
      <c r="A56" s="196"/>
      <c r="B56" s="197"/>
      <c r="C56" s="198"/>
      <c r="D56" s="198"/>
      <c r="E56" s="198"/>
      <c r="F56" s="198"/>
    </row>
    <row r="57" spans="1:6" ht="53.25" customHeight="1" x14ac:dyDescent="0.35">
      <c r="A57" s="196">
        <f>+A55+1</f>
        <v>34</v>
      </c>
      <c r="B57" s="323" t="s">
        <v>423</v>
      </c>
      <c r="C57" s="326"/>
      <c r="D57" s="326"/>
      <c r="E57" s="326"/>
      <c r="F57" s="326"/>
    </row>
    <row r="58" spans="1:6" x14ac:dyDescent="0.35">
      <c r="A58" s="196"/>
      <c r="B58" s="197"/>
      <c r="C58" s="198"/>
      <c r="D58" s="198"/>
      <c r="E58" s="198"/>
      <c r="F58" s="198"/>
    </row>
    <row r="59" spans="1:6" x14ac:dyDescent="0.35">
      <c r="A59" s="196">
        <f>+A57+1</f>
        <v>35</v>
      </c>
      <c r="B59" s="327" t="s">
        <v>424</v>
      </c>
      <c r="C59" s="328"/>
      <c r="D59" s="328"/>
      <c r="E59" s="328"/>
      <c r="F59" s="328"/>
    </row>
    <row r="60" spans="1:6" x14ac:dyDescent="0.35">
      <c r="A60" s="196"/>
      <c r="B60" s="196"/>
      <c r="C60" s="199"/>
      <c r="D60" s="199"/>
      <c r="E60" s="199"/>
      <c r="F60" s="199"/>
    </row>
    <row r="61" spans="1:6" ht="41.25" customHeight="1" x14ac:dyDescent="0.35">
      <c r="A61" s="196">
        <f>+A59+1</f>
        <v>36</v>
      </c>
      <c r="B61" s="323" t="s">
        <v>425</v>
      </c>
      <c r="C61" s="326"/>
      <c r="D61" s="326"/>
      <c r="E61" s="326"/>
      <c r="F61" s="326"/>
    </row>
    <row r="62" spans="1:6" x14ac:dyDescent="0.35">
      <c r="A62" s="196"/>
      <c r="B62" s="197"/>
      <c r="C62" s="198"/>
      <c r="D62" s="198"/>
      <c r="E62" s="198"/>
      <c r="F62" s="198"/>
    </row>
    <row r="63" spans="1:6" x14ac:dyDescent="0.35">
      <c r="A63" s="196">
        <f>+A61+1</f>
        <v>37</v>
      </c>
      <c r="B63" s="327" t="s">
        <v>426</v>
      </c>
      <c r="C63" s="328"/>
      <c r="D63" s="328"/>
      <c r="E63" s="328"/>
      <c r="F63" s="328"/>
    </row>
    <row r="64" spans="1:6" x14ac:dyDescent="0.35">
      <c r="A64" s="196"/>
      <c r="B64" s="196"/>
      <c r="C64" s="199"/>
      <c r="D64" s="199"/>
      <c r="E64" s="199"/>
      <c r="F64" s="199"/>
    </row>
    <row r="65" spans="1:6" x14ac:dyDescent="0.35">
      <c r="A65" s="196">
        <f>+A63+1</f>
        <v>38</v>
      </c>
      <c r="B65" s="191" t="s">
        <v>427</v>
      </c>
    </row>
    <row r="66" spans="1:6" x14ac:dyDescent="0.35">
      <c r="B66" s="191" t="s">
        <v>428</v>
      </c>
    </row>
    <row r="67" spans="1:6" x14ac:dyDescent="0.35">
      <c r="B67" s="191" t="s">
        <v>429</v>
      </c>
    </row>
    <row r="68" spans="1:6" x14ac:dyDescent="0.35">
      <c r="B68" s="200" t="s">
        <v>468</v>
      </c>
    </row>
    <row r="69" spans="1:6" x14ac:dyDescent="0.35">
      <c r="B69" s="200" t="s">
        <v>469</v>
      </c>
    </row>
    <row r="70" spans="1:6" x14ac:dyDescent="0.35">
      <c r="B70" s="191"/>
    </row>
    <row r="71" spans="1:6" x14ac:dyDescent="0.35">
      <c r="B71" s="191" t="s">
        <v>430</v>
      </c>
    </row>
    <row r="72" spans="1:6" x14ac:dyDescent="0.35">
      <c r="B72" s="200" t="s">
        <v>470</v>
      </c>
    </row>
    <row r="73" spans="1:6" x14ac:dyDescent="0.35">
      <c r="B73" s="200" t="s">
        <v>471</v>
      </c>
    </row>
    <row r="74" spans="1:6" x14ac:dyDescent="0.35">
      <c r="B74" s="189"/>
    </row>
    <row r="75" spans="1:6" x14ac:dyDescent="0.35">
      <c r="B75" s="191" t="s">
        <v>431</v>
      </c>
    </row>
    <row r="76" spans="1:6" x14ac:dyDescent="0.35">
      <c r="B76" s="200" t="s">
        <v>472</v>
      </c>
    </row>
    <row r="77" spans="1:6" x14ac:dyDescent="0.35">
      <c r="B77" s="189"/>
    </row>
    <row r="78" spans="1:6" ht="36" customHeight="1" x14ac:dyDescent="0.35">
      <c r="B78" s="329" t="s">
        <v>432</v>
      </c>
      <c r="C78" s="329"/>
      <c r="D78" s="329"/>
      <c r="E78" s="329"/>
      <c r="F78" s="329"/>
    </row>
    <row r="79" spans="1:6" x14ac:dyDescent="0.35">
      <c r="B79" s="191"/>
    </row>
    <row r="80" spans="1:6" x14ac:dyDescent="0.35">
      <c r="B80" s="201" t="s">
        <v>433</v>
      </c>
      <c r="C80" s="201" t="s">
        <v>434</v>
      </c>
      <c r="D80" s="201" t="s">
        <v>434</v>
      </c>
      <c r="E80" s="201" t="s">
        <v>435</v>
      </c>
      <c r="F80" s="201" t="s">
        <v>435</v>
      </c>
    </row>
    <row r="81" spans="2:6" ht="90" x14ac:dyDescent="0.35">
      <c r="B81" s="202"/>
      <c r="C81" s="202" t="s">
        <v>436</v>
      </c>
      <c r="D81" s="202" t="s">
        <v>437</v>
      </c>
      <c r="E81" s="202" t="s">
        <v>436</v>
      </c>
      <c r="F81" s="202" t="s">
        <v>437</v>
      </c>
    </row>
    <row r="82" spans="2:6" x14ac:dyDescent="0.35">
      <c r="B82" s="203" t="s">
        <v>438</v>
      </c>
      <c r="C82" s="203"/>
      <c r="D82" s="203"/>
      <c r="E82" s="203"/>
      <c r="F82" s="203"/>
    </row>
    <row r="83" spans="2:6" x14ac:dyDescent="0.35">
      <c r="B83" s="202" t="s">
        <v>439</v>
      </c>
      <c r="C83" s="204">
        <v>0</v>
      </c>
      <c r="D83" s="204">
        <v>0</v>
      </c>
      <c r="E83" s="204">
        <v>0</v>
      </c>
      <c r="F83" s="204">
        <v>0</v>
      </c>
    </row>
    <row r="84" spans="2:6" x14ac:dyDescent="0.35">
      <c r="B84" s="202" t="s">
        <v>440</v>
      </c>
      <c r="C84" s="204">
        <v>256.45</v>
      </c>
      <c r="D84" s="204" t="s">
        <v>441</v>
      </c>
      <c r="E84" s="204">
        <v>1636.54</v>
      </c>
      <c r="F84" s="204">
        <v>0</v>
      </c>
    </row>
    <row r="85" spans="2:6" x14ac:dyDescent="0.35">
      <c r="B85" s="202" t="s">
        <v>442</v>
      </c>
      <c r="C85" s="204">
        <v>0</v>
      </c>
      <c r="D85" s="204">
        <v>0</v>
      </c>
      <c r="E85" s="204">
        <v>0</v>
      </c>
      <c r="F85" s="204">
        <v>0</v>
      </c>
    </row>
    <row r="86" spans="2:6" x14ac:dyDescent="0.35">
      <c r="B86" s="202" t="s">
        <v>443</v>
      </c>
      <c r="C86" s="204">
        <v>0</v>
      </c>
      <c r="D86" s="204">
        <v>0</v>
      </c>
      <c r="E86" s="204">
        <v>0</v>
      </c>
      <c r="F86" s="204">
        <v>0</v>
      </c>
    </row>
    <row r="87" spans="2:6" x14ac:dyDescent="0.35">
      <c r="B87" s="203" t="s">
        <v>444</v>
      </c>
      <c r="C87" s="205"/>
      <c r="D87" s="205"/>
      <c r="E87" s="204"/>
      <c r="F87" s="204"/>
    </row>
    <row r="88" spans="2:6" x14ac:dyDescent="0.35">
      <c r="B88" s="202" t="s">
        <v>439</v>
      </c>
      <c r="C88" s="204">
        <v>0</v>
      </c>
      <c r="D88" s="204">
        <v>0</v>
      </c>
      <c r="E88" s="204">
        <v>0</v>
      </c>
      <c r="F88" s="204">
        <v>0</v>
      </c>
    </row>
    <row r="89" spans="2:6" x14ac:dyDescent="0.35">
      <c r="B89" s="202" t="s">
        <v>440</v>
      </c>
      <c r="C89" s="204">
        <v>0</v>
      </c>
      <c r="D89" s="204">
        <v>0</v>
      </c>
      <c r="E89" s="204">
        <v>180</v>
      </c>
      <c r="F89" s="204">
        <v>0</v>
      </c>
    </row>
    <row r="90" spans="2:6" x14ac:dyDescent="0.35">
      <c r="B90" s="202" t="s">
        <v>442</v>
      </c>
      <c r="C90" s="204">
        <v>0</v>
      </c>
      <c r="D90" s="204">
        <v>0</v>
      </c>
      <c r="E90" s="204">
        <v>0</v>
      </c>
      <c r="F90" s="204">
        <v>0</v>
      </c>
    </row>
    <row r="91" spans="2:6" x14ac:dyDescent="0.35">
      <c r="B91" s="202" t="s">
        <v>443</v>
      </c>
      <c r="C91" s="204">
        <v>0</v>
      </c>
      <c r="D91" s="204">
        <v>0</v>
      </c>
      <c r="E91" s="204">
        <v>0</v>
      </c>
      <c r="F91" s="204">
        <v>50</v>
      </c>
    </row>
    <row r="92" spans="2:6" x14ac:dyDescent="0.35">
      <c r="B92" s="203" t="s">
        <v>445</v>
      </c>
      <c r="C92" s="205"/>
      <c r="D92" s="205"/>
      <c r="E92" s="205"/>
      <c r="F92" s="205"/>
    </row>
    <row r="93" spans="2:6" x14ac:dyDescent="0.35">
      <c r="B93" s="202" t="s">
        <v>439</v>
      </c>
      <c r="C93" s="204">
        <f>+E93+C83-C88</f>
        <v>2000</v>
      </c>
      <c r="D93" s="204">
        <v>0</v>
      </c>
      <c r="E93" s="204">
        <v>2000</v>
      </c>
      <c r="F93" s="204">
        <v>0</v>
      </c>
    </row>
    <row r="94" spans="2:6" x14ac:dyDescent="0.35">
      <c r="B94" s="202" t="s">
        <v>440</v>
      </c>
      <c r="C94" s="204">
        <f>+E94+C84-C89</f>
        <v>5100.82</v>
      </c>
      <c r="D94" s="204">
        <v>0</v>
      </c>
      <c r="E94" s="204">
        <v>4844.37</v>
      </c>
      <c r="F94" s="204">
        <v>0</v>
      </c>
    </row>
    <row r="95" spans="2:6" x14ac:dyDescent="0.35">
      <c r="B95" s="202" t="s">
        <v>442</v>
      </c>
      <c r="C95" s="204">
        <f>+E95+C85-C90</f>
        <v>5.01</v>
      </c>
      <c r="D95" s="204">
        <v>0</v>
      </c>
      <c r="E95" s="204">
        <v>5.01</v>
      </c>
      <c r="F95" s="204">
        <v>0</v>
      </c>
    </row>
    <row r="96" spans="2:6" ht="36" x14ac:dyDescent="0.35">
      <c r="B96" s="203" t="s">
        <v>446</v>
      </c>
      <c r="C96" s="205"/>
      <c r="D96" s="205"/>
      <c r="E96" s="205"/>
      <c r="F96" s="205"/>
    </row>
    <row r="97" spans="1:6" x14ac:dyDescent="0.35">
      <c r="B97" s="202" t="s">
        <v>440</v>
      </c>
      <c r="C97" s="204">
        <v>112.2</v>
      </c>
      <c r="D97" s="204">
        <v>0</v>
      </c>
      <c r="E97" s="204">
        <v>381.29</v>
      </c>
      <c r="F97" s="204">
        <v>0</v>
      </c>
    </row>
    <row r="98" spans="1:6" x14ac:dyDescent="0.35">
      <c r="B98" s="202" t="s">
        <v>443</v>
      </c>
      <c r="C98" s="204">
        <v>0</v>
      </c>
      <c r="D98" s="204">
        <v>0</v>
      </c>
      <c r="E98" s="204">
        <v>0</v>
      </c>
      <c r="F98" s="204">
        <v>0</v>
      </c>
    </row>
    <row r="99" spans="1:6" ht="36" x14ac:dyDescent="0.35">
      <c r="B99" s="203" t="s">
        <v>447</v>
      </c>
      <c r="C99" s="205"/>
      <c r="D99" s="205"/>
      <c r="E99" s="205"/>
      <c r="F99" s="205"/>
    </row>
    <row r="100" spans="1:6" x14ac:dyDescent="0.35">
      <c r="B100" s="202" t="s">
        <v>440</v>
      </c>
      <c r="C100" s="204">
        <v>111.45</v>
      </c>
      <c r="D100" s="204">
        <v>0</v>
      </c>
      <c r="E100" s="204">
        <v>406.29</v>
      </c>
      <c r="F100" s="204">
        <v>0</v>
      </c>
    </row>
    <row r="101" spans="1:6" x14ac:dyDescent="0.35">
      <c r="B101" s="202" t="s">
        <v>443</v>
      </c>
      <c r="C101" s="204">
        <v>0</v>
      </c>
      <c r="D101" s="204">
        <v>0</v>
      </c>
      <c r="E101" s="204">
        <v>0</v>
      </c>
      <c r="F101" s="204">
        <v>0</v>
      </c>
    </row>
    <row r="102" spans="1:6" ht="36" x14ac:dyDescent="0.35">
      <c r="B102" s="203" t="s">
        <v>388</v>
      </c>
      <c r="C102" s="205"/>
      <c r="D102" s="205"/>
      <c r="E102" s="205"/>
      <c r="F102" s="205"/>
    </row>
    <row r="103" spans="1:6" x14ac:dyDescent="0.35">
      <c r="B103" s="202" t="s">
        <v>440</v>
      </c>
      <c r="C103" s="204">
        <f>+E103+C97-C100</f>
        <v>16.749999999999986</v>
      </c>
      <c r="D103" s="204">
        <v>0</v>
      </c>
      <c r="E103" s="204">
        <v>16</v>
      </c>
      <c r="F103" s="204">
        <v>0</v>
      </c>
    </row>
    <row r="104" spans="1:6" x14ac:dyDescent="0.35">
      <c r="B104" s="189"/>
    </row>
    <row r="105" spans="1:6" x14ac:dyDescent="0.35">
      <c r="A105" s="188">
        <f>+A65+1</f>
        <v>39</v>
      </c>
      <c r="B105" s="189" t="s">
        <v>448</v>
      </c>
    </row>
    <row r="106" spans="1:6" x14ac:dyDescent="0.35">
      <c r="B106" s="189"/>
    </row>
    <row r="107" spans="1:6" x14ac:dyDescent="0.35">
      <c r="A107" s="188">
        <f>+A105+1</f>
        <v>40</v>
      </c>
      <c r="B107" s="190" t="s">
        <v>479</v>
      </c>
    </row>
    <row r="108" spans="1:6" x14ac:dyDescent="0.35">
      <c r="B108" s="189" t="s">
        <v>480</v>
      </c>
    </row>
    <row r="109" spans="1:6" x14ac:dyDescent="0.35">
      <c r="B109" s="189"/>
    </row>
    <row r="110" spans="1:6" ht="30" x14ac:dyDescent="0.35">
      <c r="B110" s="269" t="s">
        <v>0</v>
      </c>
      <c r="C110" s="270"/>
      <c r="D110" s="270"/>
      <c r="E110" s="239" t="s">
        <v>546</v>
      </c>
      <c r="F110" s="239" t="s">
        <v>547</v>
      </c>
    </row>
    <row r="111" spans="1:6" x14ac:dyDescent="0.35">
      <c r="B111" s="137"/>
      <c r="C111" s="240"/>
      <c r="D111" s="240"/>
      <c r="E111" s="241"/>
      <c r="F111" s="241"/>
    </row>
    <row r="112" spans="1:6" x14ac:dyDescent="0.35">
      <c r="B112" s="137" t="s">
        <v>548</v>
      </c>
      <c r="C112" s="240"/>
      <c r="D112" s="240"/>
      <c r="E112" s="242"/>
      <c r="F112" s="242"/>
    </row>
    <row r="113" spans="2:6" x14ac:dyDescent="0.35">
      <c r="B113" s="243" t="s">
        <v>84</v>
      </c>
      <c r="C113" s="240"/>
      <c r="D113" s="240"/>
      <c r="E113" s="242" t="e">
        <f>+'[4]Profit &amp; loss'!#REF!</f>
        <v>#REF!</v>
      </c>
      <c r="F113" s="242" t="e">
        <f>+'[4]Profit &amp; loss'!#REF!</f>
        <v>#REF!</v>
      </c>
    </row>
    <row r="114" spans="2:6" x14ac:dyDescent="0.35">
      <c r="B114" s="157" t="s">
        <v>549</v>
      </c>
      <c r="C114" s="240"/>
      <c r="D114" s="240"/>
      <c r="E114" s="242" t="e">
        <f>+SUM('[4]3-20'!#REF!)</f>
        <v>#REF!</v>
      </c>
      <c r="F114" s="242" t="e">
        <f>+SUM('[4]3-20'!#REF!)</f>
        <v>#REF!</v>
      </c>
    </row>
    <row r="115" spans="2:6" x14ac:dyDescent="0.35">
      <c r="B115" s="137" t="s">
        <v>550</v>
      </c>
      <c r="C115" s="244"/>
      <c r="D115" s="244"/>
      <c r="E115" s="245" t="e">
        <f>+(E113/E114)*1000</f>
        <v>#REF!</v>
      </c>
      <c r="F115" s="245" t="e">
        <f>+(F113/F114)*1000</f>
        <v>#REF!</v>
      </c>
    </row>
    <row r="116" spans="2:6" x14ac:dyDescent="0.35">
      <c r="B116" s="157"/>
      <c r="C116" s="240"/>
      <c r="D116" s="240"/>
      <c r="E116" s="242"/>
      <c r="F116" s="242"/>
    </row>
    <row r="117" spans="2:6" x14ac:dyDescent="0.35">
      <c r="B117" s="137" t="s">
        <v>551</v>
      </c>
      <c r="C117" s="240"/>
      <c r="D117" s="240"/>
      <c r="E117" s="242"/>
      <c r="F117" s="242"/>
    </row>
    <row r="118" spans="2:6" x14ac:dyDescent="0.35">
      <c r="B118" s="243" t="s">
        <v>84</v>
      </c>
      <c r="C118" s="240"/>
      <c r="D118" s="240"/>
      <c r="E118" s="242" t="e">
        <f>+E113</f>
        <v>#REF!</v>
      </c>
      <c r="F118" s="242" t="e">
        <f>+F113</f>
        <v>#REF!</v>
      </c>
    </row>
    <row r="119" spans="2:6" x14ac:dyDescent="0.35">
      <c r="B119" s="243" t="s">
        <v>552</v>
      </c>
      <c r="C119" s="240"/>
      <c r="D119" s="240"/>
      <c r="E119" s="242" t="e">
        <f>+'[4]3-20'!#REF!</f>
        <v>#REF!</v>
      </c>
      <c r="F119" s="242">
        <v>0</v>
      </c>
    </row>
    <row r="120" spans="2:6" x14ac:dyDescent="0.35">
      <c r="B120" s="157" t="s">
        <v>553</v>
      </c>
      <c r="C120" s="246">
        <v>45563</v>
      </c>
      <c r="D120" s="246"/>
      <c r="E120" s="242">
        <v>0</v>
      </c>
      <c r="F120" s="242">
        <v>0</v>
      </c>
    </row>
    <row r="121" spans="2:6" x14ac:dyDescent="0.35">
      <c r="B121" s="157" t="s">
        <v>554</v>
      </c>
      <c r="C121" s="246" t="s">
        <v>555</v>
      </c>
      <c r="D121" s="246"/>
      <c r="E121" s="242">
        <v>0</v>
      </c>
      <c r="F121" s="242">
        <v>0</v>
      </c>
    </row>
    <row r="122" spans="2:6" x14ac:dyDescent="0.35">
      <c r="B122" s="157" t="s">
        <v>556</v>
      </c>
      <c r="C122" s="247">
        <f>6/12</f>
        <v>0.5</v>
      </c>
      <c r="D122" s="240"/>
      <c r="E122" s="242">
        <v>0</v>
      </c>
      <c r="F122" s="242">
        <v>0</v>
      </c>
    </row>
    <row r="123" spans="2:6" x14ac:dyDescent="0.35">
      <c r="B123" s="157" t="s">
        <v>557</v>
      </c>
      <c r="C123" s="248"/>
      <c r="D123" s="240"/>
      <c r="E123" s="242" t="e">
        <f>+ROUNDUP(E119*0.5,0.5)</f>
        <v>#REF!</v>
      </c>
      <c r="F123" s="242">
        <v>0</v>
      </c>
    </row>
    <row r="124" spans="2:6" x14ac:dyDescent="0.35">
      <c r="B124" s="157" t="s">
        <v>558</v>
      </c>
      <c r="C124" s="248"/>
      <c r="D124" s="240"/>
      <c r="E124" s="242" t="e">
        <f>+F124+E123</f>
        <v>#REF!</v>
      </c>
      <c r="F124" s="242">
        <v>1020633</v>
      </c>
    </row>
    <row r="125" spans="2:6" x14ac:dyDescent="0.35">
      <c r="B125" s="249" t="s">
        <v>559</v>
      </c>
      <c r="C125" s="250"/>
      <c r="D125" s="251"/>
      <c r="E125" s="252" t="e">
        <f>+E118/E124*1000</f>
        <v>#REF!</v>
      </c>
      <c r="F125" s="252" t="e">
        <f>+F118/F124*1000</f>
        <v>#REF!</v>
      </c>
    </row>
    <row r="126" spans="2:6" x14ac:dyDescent="0.35">
      <c r="B126" s="189"/>
    </row>
    <row r="127" spans="2:6" x14ac:dyDescent="0.35">
      <c r="B127" s="189"/>
    </row>
    <row r="128" spans="2:6" x14ac:dyDescent="0.35">
      <c r="B128" s="189"/>
    </row>
    <row r="129" spans="2:5" x14ac:dyDescent="0.35">
      <c r="B129" s="189"/>
    </row>
    <row r="130" spans="2:5" x14ac:dyDescent="0.35">
      <c r="B130" s="189"/>
    </row>
    <row r="131" spans="2:5" x14ac:dyDescent="0.35">
      <c r="B131" s="191" t="s">
        <v>473</v>
      </c>
      <c r="E131" s="191" t="s">
        <v>449</v>
      </c>
    </row>
    <row r="132" spans="2:5" x14ac:dyDescent="0.35">
      <c r="B132" s="206"/>
      <c r="E132" s="191" t="s">
        <v>49</v>
      </c>
    </row>
    <row r="133" spans="2:5" x14ac:dyDescent="0.35">
      <c r="E133" s="191" t="s">
        <v>450</v>
      </c>
    </row>
    <row r="134" spans="2:5" x14ac:dyDescent="0.35">
      <c r="B134" s="191"/>
    </row>
    <row r="135" spans="2:5" x14ac:dyDescent="0.35">
      <c r="B135" s="191"/>
    </row>
    <row r="136" spans="2:5" x14ac:dyDescent="0.35">
      <c r="B136" s="191"/>
    </row>
    <row r="137" spans="2:5" x14ac:dyDescent="0.35">
      <c r="B137" s="191" t="s">
        <v>474</v>
      </c>
      <c r="C137" s="191" t="s">
        <v>474</v>
      </c>
      <c r="D137" s="191" t="s">
        <v>451</v>
      </c>
      <c r="E137" s="192" t="s">
        <v>478</v>
      </c>
    </row>
    <row r="138" spans="2:5" x14ac:dyDescent="0.35">
      <c r="B138" s="191" t="s">
        <v>58</v>
      </c>
      <c r="C138" s="191" t="s">
        <v>452</v>
      </c>
      <c r="E138" s="192" t="s">
        <v>50</v>
      </c>
    </row>
    <row r="139" spans="2:5" x14ac:dyDescent="0.35">
      <c r="B139" s="191" t="s">
        <v>475</v>
      </c>
      <c r="C139" s="191" t="s">
        <v>476</v>
      </c>
      <c r="E139" s="191" t="s">
        <v>453</v>
      </c>
    </row>
    <row r="140" spans="2:5" x14ac:dyDescent="0.35">
      <c r="B140" s="206"/>
    </row>
    <row r="141" spans="2:5" x14ac:dyDescent="0.35">
      <c r="B141" s="191"/>
    </row>
    <row r="142" spans="2:5" x14ac:dyDescent="0.35">
      <c r="B142" s="191" t="s">
        <v>54</v>
      </c>
    </row>
    <row r="143" spans="2:5" x14ac:dyDescent="0.35">
      <c r="B143" s="191" t="s">
        <v>454</v>
      </c>
    </row>
    <row r="144" spans="2:5" x14ac:dyDescent="0.35">
      <c r="B144" s="191" t="s">
        <v>477</v>
      </c>
    </row>
  </sheetData>
  <mergeCells count="28">
    <mergeCell ref="B110:D110"/>
    <mergeCell ref="B61:F61"/>
    <mergeCell ref="B63:F63"/>
    <mergeCell ref="B78:F78"/>
    <mergeCell ref="B32:F32"/>
    <mergeCell ref="A44:F44"/>
    <mergeCell ref="A45:F45"/>
    <mergeCell ref="B49:F49"/>
    <mergeCell ref="B51:F51"/>
    <mergeCell ref="B53:F53"/>
    <mergeCell ref="B34:F34"/>
    <mergeCell ref="B41:F41"/>
    <mergeCell ref="B42:F42"/>
    <mergeCell ref="B55:F55"/>
    <mergeCell ref="B57:F57"/>
    <mergeCell ref="B59:F59"/>
    <mergeCell ref="B31:F31"/>
    <mergeCell ref="A1:F1"/>
    <mergeCell ref="A2:F2"/>
    <mergeCell ref="B8:F8"/>
    <mergeCell ref="B11:F11"/>
    <mergeCell ref="B14:F14"/>
    <mergeCell ref="B15:F15"/>
    <mergeCell ref="B18:F18"/>
    <mergeCell ref="B19:F19"/>
    <mergeCell ref="B22:F22"/>
    <mergeCell ref="B25:F25"/>
    <mergeCell ref="B29:F29"/>
  </mergeCells>
  <pageMargins left="0.70866141732283472" right="0.62992125984251968" top="0.74803149606299213" bottom="0.74803149606299213" header="0.31496062992125984" footer="0.31496062992125984"/>
  <pageSetup scale="68" orientation="portrait" r:id="rId1"/>
  <rowBreaks count="3" manualBreakCount="3">
    <brk id="22" max="5" man="1"/>
    <brk id="42" max="5" man="1"/>
    <brk id="77" max="5" man="1"/>
  </rowBreaks>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Balance Sheet</vt:lpstr>
      <vt:lpstr>CFS</vt:lpstr>
      <vt:lpstr>Profit &amp; loss</vt:lpstr>
      <vt:lpstr>2-11</vt:lpstr>
      <vt:lpstr>12</vt:lpstr>
      <vt:lpstr>13-22</vt:lpstr>
      <vt:lpstr>23-29</vt:lpstr>
      <vt:lpstr>Ratios</vt:lpstr>
      <vt:lpstr>notes to accounts</vt:lpstr>
      <vt:lpstr>'Balance Sheet'!Print_Area</vt:lpstr>
      <vt:lpstr>'notes to accounts'!Print_Area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2026-06-18T13:51:16Z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2023-10-10T10:42:18Z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f9aa152c-9ff2-44ff-8632-37effedbdc08</vt:lpwstr>
  </property>
  <property fmtid="{D5CDD505-2E9C-101B-9397-08002B2CF9AE}" pid="7" name="MSIP_Label_defa4170-0d19-0005-0004-bc88714345d2_ActionId">
    <vt:lpwstr>f6ba6255-4c14-4ff4-828e-3521ebaf1ee9</vt:lpwstr>
  </property>
  <property fmtid="{D5CDD505-2E9C-101B-9397-08002B2CF9AE}" pid="8" name="MSIP_Label_defa4170-0d19-0005-0004-bc88714345d2_ContentBits">
    <vt:lpwstr>0</vt:lpwstr>
  </property>
</Properties>
</file>